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52" windowHeight="12375" activeTab="7"/>
  </bookViews>
  <sheets>
    <sheet name="ab_r_1" sheetId="1" r:id="rId1"/>
    <sheet name="ab_r_2" sheetId="2" r:id="rId2"/>
    <sheet name="ab_r_3" sheetId="3" r:id="rId3"/>
    <sheet name="jm_r_1" sheetId="4" r:id="rId4"/>
    <sheet name="jm_r_2" sheetId="5" r:id="rId5"/>
    <sheet name="jm_r_3" sheetId="6" r:id="rId6"/>
    <sheet name="ab_arg" sheetId="7" r:id="rId7"/>
    <sheet name="jm_arg" sheetId="8" r:id="rId8"/>
  </sheets>
  <definedNames>
    <definedName name="_xlnm._FilterDatabase" localSheetId="6" hidden="1">ab_arg!$B$1:$B$18</definedName>
    <definedName name="_xlnm._FilterDatabase" localSheetId="7" hidden="1">jm_arg!$B$1:$B$20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<sst xmlns="http://schemas.openxmlformats.org/spreadsheetml/2006/main" count="288" uniqueCount="33">
  <si>
    <t>port</t>
  </si>
  <si>
    <t>method</t>
  </si>
  <si>
    <t>rps</t>
  </si>
  <si>
    <t>avg_ms</t>
  </si>
  <si>
    <t>p95_ms</t>
  </si>
  <si>
    <t>failed</t>
  </si>
  <si>
    <t>springboot</t>
  </si>
  <si>
    <t>GET</t>
  </si>
  <si>
    <t>POST</t>
  </si>
  <si>
    <t>vertx</t>
  </si>
  <si>
    <t>quarkus</t>
  </si>
  <si>
    <t>quarkusnative</t>
  </si>
  <si>
    <t>ginweb</t>
  </si>
  <si>
    <t>beego</t>
  </si>
  <si>
    <t>Executions</t>
  </si>
  <si>
    <t>Response Times (ms)</t>
  </si>
  <si>
    <t>Network (KB/sec)</t>
  </si>
  <si>
    <t>Post</t>
  </si>
  <si>
    <t>Label</t>
  </si>
  <si>
    <t>Samples</t>
  </si>
  <si>
    <t>FAIL</t>
  </si>
  <si>
    <t>Error %</t>
  </si>
  <si>
    <t>Average</t>
  </si>
  <si>
    <t>Min</t>
  </si>
  <si>
    <t>Max</t>
  </si>
  <si>
    <t>Median</t>
  </si>
  <si>
    <t>90th pct</t>
  </si>
  <si>
    <t>95th pct</t>
  </si>
  <si>
    <t>99th pct</t>
  </si>
  <si>
    <t>Transactions/s</t>
  </si>
  <si>
    <t>Received</t>
  </si>
  <si>
    <t>Sent</t>
  </si>
  <si>
    <t>Get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</si>
</sst>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Aptos"/>
      <charset val="134"/>
    </font>
    <font>
      <sz val="10.5"/>
      <color rgb="FF3D3D3D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3D3D3D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CDCDC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DCDC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CDCDCD"/>
      </left>
      <right style="medium">
        <color rgb="FFDDDDDD"/>
      </right>
      <top style="medium">
        <color rgb="FFCDCDC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CDCDCD"/>
      </top>
      <bottom style="medium">
        <color rgb="FFDDDDDD"/>
      </bottom>
      <diagonal/>
    </border>
    <border>
      <left style="medium">
        <color rgb="FFDDDDDD"/>
      </left>
      <right/>
      <top style="medium">
        <color rgb="FFCDCDC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1">
      <alignment vertical="center"/>
    </xf>
    <xf numFmtId="0" fontId="11" fillId="0" borderId="11">
      <alignment vertical="center"/>
    </xf>
    <xf numFmtId="0" fontId="12" fillId="0" borderId="12">
      <alignment vertical="center"/>
    </xf>
    <xf numFmtId="0" fontId="12" fillId="0" borderId="0">
      <alignment vertical="center"/>
    </xf>
    <xf numFmtId="0" fontId="13" fillId="3" borderId="13">
      <alignment vertical="center"/>
    </xf>
    <xf numFmtId="0" fontId="14" fillId="4" borderId="14">
      <alignment vertical="center"/>
    </xf>
    <xf numFmtId="0" fontId="15" fillId="4" borderId="13">
      <alignment vertical="center"/>
    </xf>
    <xf numFmtId="0" fontId="16" fillId="5" borderId="15">
      <alignment vertical="center"/>
    </xf>
    <xf numFmtId="0" fontId="17" fillId="0" borderId="16">
      <alignment vertical="center"/>
    </xf>
    <xf numFmtId="0" fontId="18" fillId="0" borderId="17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28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4" fillId="0" borderId="5" xfId="0" applyFont="1" applyFill="1" applyBorder="1" applyAlignment="1">
      <alignment vertical="top" wrapText="1"/>
    </xf>
    <xf numFmtId="0" fontId="4" fillId="0" borderId="6" xfId="0" applyFont="1" applyFill="1" applyBorder="1" applyAlignment="1">
      <alignment vertical="top" wrapText="1"/>
    </xf>
    <xf numFmtId="10" fontId="4" fillId="0" borderId="6" xfId="0" applyNumberFormat="1" applyFont="1" applyFill="1" applyBorder="1" applyAlignment="1">
      <alignment vertical="top" wrapText="1"/>
    </xf>
    <xf numFmtId="0" fontId="4" fillId="0" borderId="7" xfId="0" applyFont="1" applyFill="1" applyBorder="1" applyAlignment="1">
      <alignment vertical="top" wrapText="1"/>
    </xf>
    <xf numFmtId="0" fontId="4" fillId="0" borderId="3" xfId="0" applyFont="1" applyFill="1" applyBorder="1" applyAlignment="1">
      <alignment vertical="top" wrapText="1"/>
    </xf>
    <xf numFmtId="0" fontId="4" fillId="0" borderId="4" xfId="0" applyFont="1" applyFill="1" applyBorder="1" applyAlignment="1">
      <alignment vertical="top" wrapText="1"/>
    </xf>
    <xf numFmtId="10" fontId="4" fillId="0" borderId="4" xfId="0" applyNumberFormat="1" applyFont="1" applyFill="1" applyBorder="1" applyAlignment="1">
      <alignment vertical="top" wrapText="1"/>
    </xf>
    <xf numFmtId="0" fontId="4" fillId="0" borderId="8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10" fontId="4" fillId="0" borderId="2" xfId="0" applyNumberFormat="1" applyFont="1" applyFill="1" applyBorder="1" applyAlignment="1">
      <alignment vertical="top" wrapText="1"/>
    </xf>
    <xf numFmtId="0" fontId="4" fillId="0" borderId="9" xfId="0" applyFont="1" applyFill="1" applyBorder="1" applyAlignment="1">
      <alignment vertical="top" wrapText="1"/>
    </xf>
    <xf numFmtId="10" fontId="2" fillId="0" borderId="2" xfId="0" applyNumberFormat="1" applyFont="1" applyFill="1" applyBorder="1" applyAlignment="1">
      <alignment vertical="top" wrapText="1"/>
    </xf>
    <xf numFmtId="0" fontId="2" fillId="0" borderId="9" xfId="0" applyFont="1" applyFill="1" applyBorder="1" applyAlignment="1">
      <alignment vertical="top" wrapText="1"/>
    </xf>
    <xf numFmtId="10" fontId="2" fillId="0" borderId="4" xfId="0" applyNumberFormat="1" applyFont="1" applyFill="1" applyBorder="1" applyAlignment="1">
      <alignment vertical="top" wrapText="1"/>
    </xf>
    <xf numFmtId="0" fontId="2" fillId="0" borderId="8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G18" sqref="A1:G18"/>
    </sheetView>
  </sheetViews>
  <sheetFormatPr defaultColWidth="9.55752212389381" defaultRowHeight="13.5" outlineLevelCol="5"/>
  <cols>
    <col min="1" max="1" width="9.55752212389381" style="1"/>
    <col min="2" max="3" width="9.55752212389381" style="1" customWidth="1"/>
    <col min="4" max="16384" width="9.55752212389381" style="1"/>
  </cols>
  <sheetData>
    <row r="1" s="9" customFormat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="1" customFormat="1" spans="1:6">
      <c r="A2" s="1" t="s">
        <v>6</v>
      </c>
      <c r="B2" s="1" t="s">
        <v>7</v>
      </c>
      <c r="C2" s="1">
        <v>413.82</v>
      </c>
      <c r="D2" s="1">
        <v>241.653</v>
      </c>
      <c r="E2" s="1">
        <v>401</v>
      </c>
      <c r="F2" s="1">
        <v>0</v>
      </c>
    </row>
    <row r="3" s="1" customFormat="1" spans="1:6">
      <c r="A3" s="1" t="s">
        <v>6</v>
      </c>
      <c r="B3" s="1" t="s">
        <v>8</v>
      </c>
      <c r="C3" s="1">
        <v>535.6</v>
      </c>
      <c r="D3" s="1">
        <v>186.706</v>
      </c>
      <c r="E3" s="1">
        <v>409</v>
      </c>
      <c r="F3" s="1">
        <v>0</v>
      </c>
    </row>
    <row r="4" s="1" customFormat="1" spans="1:6">
      <c r="A4" s="1" t="s">
        <v>9</v>
      </c>
      <c r="B4" s="1" t="s">
        <v>7</v>
      </c>
      <c r="C4" s="1">
        <v>431.18</v>
      </c>
      <c r="D4" s="1">
        <v>231.92</v>
      </c>
      <c r="E4" s="1">
        <v>499</v>
      </c>
      <c r="F4" s="1">
        <v>0</v>
      </c>
    </row>
    <row r="5" s="1" customFormat="1" spans="1:6">
      <c r="A5" s="1" t="s">
        <v>9</v>
      </c>
      <c r="B5" s="1" t="s">
        <v>8</v>
      </c>
      <c r="C5" s="1">
        <v>1304.57</v>
      </c>
      <c r="D5" s="1">
        <v>76.654</v>
      </c>
      <c r="E5" s="1">
        <v>98</v>
      </c>
      <c r="F5" s="1">
        <v>0</v>
      </c>
    </row>
    <row r="6" s="1" customFormat="1" spans="1:6">
      <c r="A6" s="1" t="s">
        <v>10</v>
      </c>
      <c r="B6" s="1" t="s">
        <v>7</v>
      </c>
      <c r="C6" s="1">
        <v>584.15</v>
      </c>
      <c r="D6" s="1">
        <v>171.19</v>
      </c>
      <c r="E6" s="1">
        <v>386</v>
      </c>
      <c r="F6" s="1">
        <v>0</v>
      </c>
    </row>
    <row r="7" s="1" customFormat="1" spans="1:6">
      <c r="A7" s="1" t="s">
        <v>10</v>
      </c>
      <c r="B7" s="1" t="s">
        <v>8</v>
      </c>
      <c r="C7" s="1">
        <v>1057.26</v>
      </c>
      <c r="D7" s="1">
        <v>94.584</v>
      </c>
      <c r="E7" s="1">
        <v>110</v>
      </c>
      <c r="F7" s="1">
        <v>0</v>
      </c>
    </row>
    <row r="8" s="1" customFormat="1" spans="1:6">
      <c r="A8" s="1" t="s">
        <v>11</v>
      </c>
      <c r="B8" s="1" t="s">
        <v>7</v>
      </c>
      <c r="C8" s="1">
        <v>1192.3</v>
      </c>
      <c r="D8" s="1">
        <v>83.871</v>
      </c>
      <c r="E8" s="1">
        <v>161</v>
      </c>
      <c r="F8" s="1">
        <v>0</v>
      </c>
    </row>
    <row r="9" s="1" customFormat="1" spans="1:6">
      <c r="A9" s="1" t="s">
        <v>11</v>
      </c>
      <c r="B9" s="1" t="s">
        <v>8</v>
      </c>
      <c r="C9" s="1">
        <v>1640.51</v>
      </c>
      <c r="D9" s="1">
        <v>60.957</v>
      </c>
      <c r="E9" s="1">
        <v>109</v>
      </c>
      <c r="F9" s="1">
        <v>0</v>
      </c>
    </row>
    <row r="10" s="1" customFormat="1" spans="1:6">
      <c r="A10" s="1" t="s">
        <v>12</v>
      </c>
      <c r="B10" s="1" t="s">
        <v>7</v>
      </c>
      <c r="C10" s="1">
        <v>585.75</v>
      </c>
      <c r="D10" s="1">
        <v>170.721</v>
      </c>
      <c r="E10" s="1">
        <v>386</v>
      </c>
      <c r="F10" s="1">
        <v>0</v>
      </c>
    </row>
    <row r="11" s="1" customFormat="1" spans="1:6">
      <c r="A11" s="1" t="s">
        <v>12</v>
      </c>
      <c r="B11" s="1" t="s">
        <v>8</v>
      </c>
      <c r="C11" s="1">
        <v>1545.72</v>
      </c>
      <c r="D11" s="1">
        <v>64.695</v>
      </c>
      <c r="E11" s="1">
        <v>170</v>
      </c>
      <c r="F11" s="1">
        <v>0</v>
      </c>
    </row>
    <row r="12" s="1" customFormat="1" spans="1:6">
      <c r="A12" s="1" t="s">
        <v>13</v>
      </c>
      <c r="B12" s="1" t="s">
        <v>7</v>
      </c>
      <c r="C12" s="1">
        <v>566.54</v>
      </c>
      <c r="D12" s="1">
        <v>176.511</v>
      </c>
      <c r="E12" s="1">
        <v>389</v>
      </c>
      <c r="F12" s="1">
        <v>0</v>
      </c>
    </row>
    <row r="13" s="1" customFormat="1" spans="1:6">
      <c r="A13" s="1" t="s">
        <v>13</v>
      </c>
      <c r="B13" s="1" t="s">
        <v>8</v>
      </c>
      <c r="C13" s="1">
        <v>964.39</v>
      </c>
      <c r="D13" s="1">
        <v>103.692</v>
      </c>
      <c r="E13" s="1">
        <v>186</v>
      </c>
      <c r="F13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D39" sqref="D39"/>
    </sheetView>
  </sheetViews>
  <sheetFormatPr defaultColWidth="9.55752212389381" defaultRowHeight="13.5" outlineLevelCol="5"/>
  <cols>
    <col min="1" max="16384" width="9.55752212389381" style="1"/>
  </cols>
  <sheetData>
    <row r="1" s="9" customFormat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="1" customFormat="1" spans="1:6">
      <c r="A2" s="1" t="s">
        <v>6</v>
      </c>
      <c r="B2" s="1" t="s">
        <v>7</v>
      </c>
      <c r="C2" s="1">
        <v>419.32</v>
      </c>
      <c r="D2" s="1">
        <v>238.481</v>
      </c>
      <c r="E2" s="1">
        <v>484</v>
      </c>
      <c r="F2" s="1">
        <v>0</v>
      </c>
    </row>
    <row r="3" s="1" customFormat="1" spans="1:6">
      <c r="A3" s="1" t="s">
        <v>6</v>
      </c>
      <c r="B3" s="1" t="s">
        <v>8</v>
      </c>
      <c r="C3" s="1">
        <v>530.25</v>
      </c>
      <c r="D3" s="1">
        <v>188.592</v>
      </c>
      <c r="E3" s="1">
        <v>405</v>
      </c>
      <c r="F3" s="1">
        <v>0</v>
      </c>
    </row>
    <row r="4" s="1" customFormat="1" spans="1:6">
      <c r="A4" s="1" t="s">
        <v>9</v>
      </c>
      <c r="B4" s="1" t="s">
        <v>7</v>
      </c>
      <c r="C4" s="1">
        <v>429.2</v>
      </c>
      <c r="D4" s="1">
        <v>232.99</v>
      </c>
      <c r="E4" s="1">
        <v>497</v>
      </c>
      <c r="F4" s="1">
        <v>0</v>
      </c>
    </row>
    <row r="5" s="1" customFormat="1" spans="1:6">
      <c r="A5" s="1" t="s">
        <v>9</v>
      </c>
      <c r="B5" s="1" t="s">
        <v>8</v>
      </c>
      <c r="C5" s="1">
        <v>1303.68</v>
      </c>
      <c r="D5" s="1">
        <v>76.706</v>
      </c>
      <c r="E5" s="1">
        <v>97</v>
      </c>
      <c r="F5" s="1">
        <v>0</v>
      </c>
    </row>
    <row r="6" s="1" customFormat="1" spans="1:6">
      <c r="A6" s="1" t="s">
        <v>10</v>
      </c>
      <c r="B6" s="1" t="s">
        <v>7</v>
      </c>
      <c r="C6" s="1">
        <v>569.47</v>
      </c>
      <c r="D6" s="1">
        <v>175.603</v>
      </c>
      <c r="E6" s="1">
        <v>392</v>
      </c>
      <c r="F6" s="1">
        <v>0</v>
      </c>
    </row>
    <row r="7" s="1" customFormat="1" spans="1:6">
      <c r="A7" s="1" t="s">
        <v>10</v>
      </c>
      <c r="B7" s="1" t="s">
        <v>8</v>
      </c>
      <c r="C7" s="1">
        <v>1115.67</v>
      </c>
      <c r="D7" s="1">
        <v>89.632</v>
      </c>
      <c r="E7" s="1">
        <v>103</v>
      </c>
      <c r="F7" s="1">
        <v>0</v>
      </c>
    </row>
    <row r="8" s="1" customFormat="1" spans="1:6">
      <c r="A8" s="1" t="s">
        <v>11</v>
      </c>
      <c r="B8" s="1" t="s">
        <v>7</v>
      </c>
      <c r="C8" s="1">
        <v>1206.82</v>
      </c>
      <c r="D8" s="1">
        <v>82.862</v>
      </c>
      <c r="E8" s="1">
        <v>158</v>
      </c>
      <c r="F8" s="1">
        <v>0</v>
      </c>
    </row>
    <row r="9" s="1" customFormat="1" spans="1:6">
      <c r="A9" s="1" t="s">
        <v>11</v>
      </c>
      <c r="B9" s="1" t="s">
        <v>8</v>
      </c>
      <c r="C9" s="1">
        <v>1706.96</v>
      </c>
      <c r="D9" s="1">
        <v>58.584</v>
      </c>
      <c r="E9" s="1">
        <v>86</v>
      </c>
      <c r="F9" s="1">
        <v>0</v>
      </c>
    </row>
    <row r="10" s="1" customFormat="1" spans="1:6">
      <c r="A10" s="1" t="s">
        <v>12</v>
      </c>
      <c r="B10" s="1" t="s">
        <v>7</v>
      </c>
      <c r="C10" s="1">
        <v>580.4</v>
      </c>
      <c r="D10" s="1">
        <v>172.296</v>
      </c>
      <c r="E10" s="1">
        <v>387</v>
      </c>
      <c r="F10" s="1">
        <v>0</v>
      </c>
    </row>
    <row r="11" s="1" customFormat="1" spans="1:6">
      <c r="A11" s="1" t="s">
        <v>12</v>
      </c>
      <c r="B11" s="1" t="s">
        <v>8</v>
      </c>
      <c r="C11" s="1">
        <v>1374.63</v>
      </c>
      <c r="D11" s="1">
        <v>72.747</v>
      </c>
      <c r="E11" s="1">
        <v>178</v>
      </c>
      <c r="F11" s="1">
        <v>0</v>
      </c>
    </row>
    <row r="12" s="1" customFormat="1" spans="1:6">
      <c r="A12" s="1" t="s">
        <v>13</v>
      </c>
      <c r="B12" s="1" t="s">
        <v>7</v>
      </c>
      <c r="C12" s="1">
        <v>551.24</v>
      </c>
      <c r="D12" s="1">
        <v>181.409</v>
      </c>
      <c r="E12" s="1">
        <v>391</v>
      </c>
      <c r="F12" s="1">
        <v>0</v>
      </c>
    </row>
    <row r="13" s="1" customFormat="1" spans="1:6">
      <c r="A13" s="1" t="s">
        <v>13</v>
      </c>
      <c r="B13" s="1" t="s">
        <v>8</v>
      </c>
      <c r="C13" s="1">
        <v>983.76</v>
      </c>
      <c r="D13" s="1">
        <v>101.651</v>
      </c>
      <c r="E13" s="1">
        <v>177</v>
      </c>
      <c r="F13" s="1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E39" sqref="E39"/>
    </sheetView>
  </sheetViews>
  <sheetFormatPr defaultColWidth="9.55752212389381" defaultRowHeight="13.5" outlineLevelCol="5"/>
  <cols>
    <col min="1" max="16384" width="9.55752212389381" style="1"/>
  </cols>
  <sheetData>
    <row r="1" s="9" customFormat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="1" customFormat="1" spans="1:6">
      <c r="A2" s="1" t="s">
        <v>6</v>
      </c>
      <c r="B2" s="1" t="s">
        <v>7</v>
      </c>
      <c r="C2" s="1">
        <v>407.03</v>
      </c>
      <c r="D2" s="1">
        <v>245.68</v>
      </c>
      <c r="E2" s="1">
        <v>402</v>
      </c>
      <c r="F2" s="1">
        <v>0</v>
      </c>
    </row>
    <row r="3" s="1" customFormat="1" spans="1:6">
      <c r="A3" s="1" t="s">
        <v>6</v>
      </c>
      <c r="B3" s="1" t="s">
        <v>8</v>
      </c>
      <c r="C3" s="1">
        <v>508.43</v>
      </c>
      <c r="D3" s="1">
        <v>196.684</v>
      </c>
      <c r="E3" s="1">
        <v>486</v>
      </c>
      <c r="F3" s="1">
        <v>0</v>
      </c>
    </row>
    <row r="4" s="1" customFormat="1" spans="1:6">
      <c r="A4" s="1" t="s">
        <v>9</v>
      </c>
      <c r="B4" s="1" t="s">
        <v>7</v>
      </c>
      <c r="C4" s="1">
        <v>434.13</v>
      </c>
      <c r="D4" s="1">
        <v>230.344</v>
      </c>
      <c r="E4" s="1">
        <v>502</v>
      </c>
      <c r="F4" s="1">
        <v>0</v>
      </c>
    </row>
    <row r="5" s="1" customFormat="1" spans="1:6">
      <c r="A5" s="1" t="s">
        <v>9</v>
      </c>
      <c r="B5" s="1" t="s">
        <v>8</v>
      </c>
      <c r="C5" s="1">
        <v>1254.29</v>
      </c>
      <c r="D5" s="1">
        <v>79.726</v>
      </c>
      <c r="E5" s="1">
        <v>100</v>
      </c>
      <c r="F5" s="1">
        <v>0</v>
      </c>
    </row>
    <row r="6" s="1" customFormat="1" spans="1:6">
      <c r="A6" s="1" t="s">
        <v>10</v>
      </c>
      <c r="B6" s="1" t="s">
        <v>7</v>
      </c>
      <c r="C6" s="1">
        <v>561.67</v>
      </c>
      <c r="D6" s="1">
        <v>178.04</v>
      </c>
      <c r="E6" s="1">
        <v>306</v>
      </c>
      <c r="F6" s="1">
        <v>0</v>
      </c>
    </row>
    <row r="7" s="1" customFormat="1" spans="1:6">
      <c r="A7" s="1" t="s">
        <v>10</v>
      </c>
      <c r="B7" s="1" t="s">
        <v>8</v>
      </c>
      <c r="C7" s="1">
        <v>1078.9</v>
      </c>
      <c r="D7" s="1">
        <v>92.687</v>
      </c>
      <c r="E7" s="1">
        <v>108</v>
      </c>
      <c r="F7" s="1">
        <v>0</v>
      </c>
    </row>
    <row r="8" s="1" customFormat="1" spans="1:6">
      <c r="A8" s="1" t="s">
        <v>11</v>
      </c>
      <c r="B8" s="1" t="s">
        <v>7</v>
      </c>
      <c r="C8" s="1">
        <v>1083.56</v>
      </c>
      <c r="D8" s="1">
        <v>92.288</v>
      </c>
      <c r="E8" s="1">
        <v>170</v>
      </c>
      <c r="F8" s="1">
        <v>0</v>
      </c>
    </row>
    <row r="9" s="1" customFormat="1" spans="1:6">
      <c r="A9" s="1" t="s">
        <v>11</v>
      </c>
      <c r="B9" s="1" t="s">
        <v>8</v>
      </c>
      <c r="C9" s="1">
        <v>1682.21</v>
      </c>
      <c r="D9" s="1">
        <v>59.446</v>
      </c>
      <c r="E9" s="1">
        <v>84</v>
      </c>
      <c r="F9" s="1">
        <v>0</v>
      </c>
    </row>
    <row r="10" s="1" customFormat="1" spans="1:6">
      <c r="A10" s="1" t="s">
        <v>12</v>
      </c>
      <c r="B10" s="1" t="s">
        <v>7</v>
      </c>
      <c r="C10" s="1">
        <v>571.3</v>
      </c>
      <c r="D10" s="1">
        <v>175.041</v>
      </c>
      <c r="E10" s="1">
        <v>387</v>
      </c>
      <c r="F10" s="1">
        <v>0</v>
      </c>
    </row>
    <row r="11" s="1" customFormat="1" spans="1:6">
      <c r="A11" s="1" t="s">
        <v>12</v>
      </c>
      <c r="B11" s="1" t="s">
        <v>8</v>
      </c>
      <c r="C11" s="1">
        <v>1391.33</v>
      </c>
      <c r="D11" s="1">
        <v>71.874</v>
      </c>
      <c r="E11" s="1">
        <v>170</v>
      </c>
      <c r="F11" s="1">
        <v>0</v>
      </c>
    </row>
    <row r="12" s="1" customFormat="1" spans="1:6">
      <c r="A12" s="1" t="s">
        <v>13</v>
      </c>
      <c r="B12" s="1" t="s">
        <v>7</v>
      </c>
      <c r="C12" s="1">
        <v>552.8</v>
      </c>
      <c r="D12" s="1">
        <v>180.899</v>
      </c>
      <c r="E12" s="1">
        <v>391</v>
      </c>
      <c r="F12" s="1">
        <v>0</v>
      </c>
    </row>
    <row r="13" s="1" customFormat="1" spans="1:6">
      <c r="A13" s="1" t="s">
        <v>13</v>
      </c>
      <c r="B13" s="1" t="s">
        <v>8</v>
      </c>
      <c r="C13" s="1">
        <v>971.78</v>
      </c>
      <c r="D13" s="1">
        <v>102.904</v>
      </c>
      <c r="E13" s="1">
        <v>182</v>
      </c>
      <c r="F13" s="1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workbookViewId="0">
      <selection activeCell="F1" sqref="F1:L1"/>
    </sheetView>
  </sheetViews>
  <sheetFormatPr defaultColWidth="9.02654867256637" defaultRowHeight="13.5"/>
  <cols>
    <col min="1" max="1" width="12.9557522123894" style="1" customWidth="1"/>
    <col min="2" max="2" width="9.02654867256637" style="1"/>
    <col min="3" max="3" width="9.89380530973451" style="1" customWidth="1"/>
    <col min="4" max="12" width="9.02654867256637" style="1"/>
    <col min="13" max="13" width="20.1150442477876" style="1" customWidth="1"/>
    <col min="14" max="14" width="14.7433628318584" style="1" customWidth="1"/>
    <col min="15" max="16384" width="9.02654867256637" style="1"/>
  </cols>
  <sheetData>
    <row r="1" ht="15" spans="1:15">
      <c r="C1" s="2" t="s">
        <v>14</v>
      </c>
      <c r="D1" s="2"/>
      <c r="E1" s="2"/>
      <c r="F1" s="2" t="s">
        <v>15</v>
      </c>
      <c r="G1" s="2"/>
      <c r="H1" s="2"/>
      <c r="I1" s="2"/>
      <c r="J1" s="2"/>
      <c r="K1" s="2"/>
      <c r="L1" s="2"/>
      <c r="N1" s="2" t="s">
        <v>16</v>
      </c>
      <c r="O1" s="2"/>
    </row>
    <row r="2" ht="15.75" spans="1:1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</row>
    <row r="3" ht="14.25" spans="1:15">
      <c r="A3" s="1" t="s">
        <v>6</v>
      </c>
      <c r="B3" s="4" t="s">
        <v>32</v>
      </c>
      <c r="C3" s="5">
        <v>10000</v>
      </c>
      <c r="D3" s="5">
        <v>0</v>
      </c>
      <c r="E3" s="24">
        <v>0</v>
      </c>
      <c r="F3" s="5">
        <v>304.89</v>
      </c>
      <c r="G3" s="5">
        <v>0</v>
      </c>
      <c r="H3" s="5">
        <v>4477</v>
      </c>
      <c r="I3" s="5">
        <v>193</v>
      </c>
      <c r="J3" s="5">
        <v>542</v>
      </c>
      <c r="K3" s="5">
        <v>744</v>
      </c>
      <c r="L3" s="5">
        <v>3779</v>
      </c>
      <c r="M3" s="5">
        <v>157.1</v>
      </c>
      <c r="N3" s="5">
        <v>34.35</v>
      </c>
      <c r="O3" s="25">
        <v>20.1</v>
      </c>
    </row>
    <row r="4" ht="14.25" spans="1:15">
      <c r="A4" s="1" t="s">
        <v>6</v>
      </c>
      <c r="B4" s="6" t="s">
        <v>17</v>
      </c>
      <c r="C4" s="7">
        <v>10000</v>
      </c>
      <c r="D4" s="7">
        <v>17</v>
      </c>
      <c r="E4" s="26">
        <v>0.0017</v>
      </c>
      <c r="F4" s="7">
        <v>309.96</v>
      </c>
      <c r="G4" s="7">
        <v>4</v>
      </c>
      <c r="H4" s="7">
        <v>7337</v>
      </c>
      <c r="I4" s="7">
        <v>196</v>
      </c>
      <c r="J4" s="7">
        <v>571.9</v>
      </c>
      <c r="K4" s="7">
        <v>814</v>
      </c>
      <c r="L4" s="7">
        <v>2710.92</v>
      </c>
      <c r="M4" s="7">
        <v>167.03</v>
      </c>
      <c r="N4" s="7">
        <v>28.64</v>
      </c>
      <c r="O4" s="27">
        <v>39.8</v>
      </c>
    </row>
    <row r="5" ht="14.25" spans="1:15">
      <c r="A5" s="1" t="s">
        <v>9</v>
      </c>
      <c r="B5" s="4" t="s">
        <v>32</v>
      </c>
      <c r="C5" s="5">
        <v>10000</v>
      </c>
      <c r="D5" s="5">
        <v>0</v>
      </c>
      <c r="E5" s="24">
        <v>0</v>
      </c>
      <c r="F5" s="5">
        <v>203.93</v>
      </c>
      <c r="G5" s="5">
        <v>0</v>
      </c>
      <c r="H5" s="5">
        <v>2781</v>
      </c>
      <c r="I5" s="5">
        <v>138</v>
      </c>
      <c r="J5" s="5">
        <v>301</v>
      </c>
      <c r="K5" s="5">
        <v>390</v>
      </c>
      <c r="L5" s="5">
        <v>2485.99</v>
      </c>
      <c r="M5" s="5">
        <v>150.57</v>
      </c>
      <c r="N5" s="5">
        <v>14.7</v>
      </c>
      <c r="O5" s="25">
        <v>19.26</v>
      </c>
    </row>
    <row r="6" ht="14.25" spans="1:15">
      <c r="A6" s="1" t="s">
        <v>9</v>
      </c>
      <c r="B6" s="6" t="s">
        <v>17</v>
      </c>
      <c r="C6" s="7">
        <v>10000</v>
      </c>
      <c r="D6" s="7">
        <v>0</v>
      </c>
      <c r="E6" s="26">
        <v>0</v>
      </c>
      <c r="F6" s="7">
        <v>447.68</v>
      </c>
      <c r="G6" s="7">
        <v>4</v>
      </c>
      <c r="H6" s="7">
        <v>3915</v>
      </c>
      <c r="I6" s="7">
        <v>372</v>
      </c>
      <c r="J6" s="7">
        <v>709</v>
      </c>
      <c r="K6" s="7">
        <v>880</v>
      </c>
      <c r="L6" s="7">
        <v>1499.99</v>
      </c>
      <c r="M6" s="7">
        <v>156.4</v>
      </c>
      <c r="N6" s="7">
        <v>9.16</v>
      </c>
      <c r="O6" s="27">
        <v>37.27</v>
      </c>
    </row>
    <row r="7" ht="14.25" spans="1:15">
      <c r="A7" s="1" t="s">
        <v>10</v>
      </c>
      <c r="B7" s="4" t="s">
        <v>32</v>
      </c>
      <c r="C7" s="5">
        <v>10000</v>
      </c>
      <c r="D7" s="5">
        <v>21</v>
      </c>
      <c r="E7" s="24">
        <v>0.0021</v>
      </c>
      <c r="F7" s="5">
        <v>230.85</v>
      </c>
      <c r="G7" s="5">
        <v>0</v>
      </c>
      <c r="H7" s="5">
        <v>5684</v>
      </c>
      <c r="I7" s="5">
        <v>137</v>
      </c>
      <c r="J7" s="5">
        <v>432</v>
      </c>
      <c r="K7" s="5">
        <v>619.95</v>
      </c>
      <c r="L7" s="5">
        <v>2202.99</v>
      </c>
      <c r="M7" s="5">
        <v>184.62</v>
      </c>
      <c r="N7" s="5">
        <v>29.75</v>
      </c>
      <c r="O7" s="25">
        <v>23.62</v>
      </c>
    </row>
    <row r="8" ht="14.25" spans="1:15">
      <c r="A8" s="1" t="s">
        <v>10</v>
      </c>
      <c r="B8" s="6" t="s">
        <v>17</v>
      </c>
      <c r="C8" s="7">
        <v>10000</v>
      </c>
      <c r="D8" s="7">
        <v>39</v>
      </c>
      <c r="E8" s="26">
        <v>0.0039</v>
      </c>
      <c r="F8" s="7">
        <v>277.74</v>
      </c>
      <c r="G8" s="7">
        <v>3</v>
      </c>
      <c r="H8" s="7">
        <v>6485</v>
      </c>
      <c r="I8" s="7">
        <v>156</v>
      </c>
      <c r="J8" s="7">
        <v>487</v>
      </c>
      <c r="K8" s="7">
        <v>731.85</v>
      </c>
      <c r="L8" s="7">
        <v>3179.96</v>
      </c>
      <c r="M8" s="7">
        <v>192.11</v>
      </c>
      <c r="N8" s="7">
        <v>16.58</v>
      </c>
      <c r="O8" s="27">
        <v>45.78</v>
      </c>
    </row>
    <row r="9" ht="14.25" spans="1:15">
      <c r="A9" s="1" t="s">
        <v>11</v>
      </c>
      <c r="B9" s="4" t="s">
        <v>32</v>
      </c>
      <c r="C9" s="5">
        <v>10000</v>
      </c>
      <c r="D9" s="5">
        <v>26</v>
      </c>
      <c r="E9" s="24">
        <v>0.0026</v>
      </c>
      <c r="F9" s="5">
        <v>188.72</v>
      </c>
      <c r="G9" s="5">
        <v>0</v>
      </c>
      <c r="H9" s="5">
        <v>4432</v>
      </c>
      <c r="I9" s="5">
        <v>128</v>
      </c>
      <c r="J9" s="5">
        <v>358</v>
      </c>
      <c r="K9" s="5">
        <v>465</v>
      </c>
      <c r="L9" s="5">
        <v>1123.95</v>
      </c>
      <c r="M9" s="5">
        <v>218.19</v>
      </c>
      <c r="N9" s="5">
        <v>35.16</v>
      </c>
      <c r="O9" s="25">
        <v>27.91</v>
      </c>
    </row>
    <row r="10" ht="14.25" spans="1:15">
      <c r="A10" s="1" t="s">
        <v>11</v>
      </c>
      <c r="B10" s="6" t="s">
        <v>17</v>
      </c>
      <c r="C10" s="7">
        <v>10000</v>
      </c>
      <c r="D10" s="7">
        <v>30</v>
      </c>
      <c r="E10" s="26">
        <v>0.003</v>
      </c>
      <c r="F10" s="7">
        <v>239.26</v>
      </c>
      <c r="G10" s="7">
        <v>3</v>
      </c>
      <c r="H10" s="7">
        <v>6199</v>
      </c>
      <c r="I10" s="7">
        <v>140</v>
      </c>
      <c r="J10" s="7">
        <v>416</v>
      </c>
      <c r="K10" s="7">
        <v>575</v>
      </c>
      <c r="L10" s="7">
        <v>3055.92</v>
      </c>
      <c r="M10" s="7">
        <v>219.28</v>
      </c>
      <c r="N10" s="7">
        <v>18.9</v>
      </c>
      <c r="O10" s="27">
        <v>52.25</v>
      </c>
    </row>
    <row r="11" ht="14.25" spans="1:15">
      <c r="A11" s="1" t="s">
        <v>12</v>
      </c>
      <c r="B11" s="4" t="s">
        <v>32</v>
      </c>
      <c r="C11" s="5">
        <v>10000</v>
      </c>
      <c r="D11" s="5">
        <v>0</v>
      </c>
      <c r="E11" s="24">
        <v>0</v>
      </c>
      <c r="F11" s="5">
        <v>137.4</v>
      </c>
      <c r="G11" s="5">
        <v>0</v>
      </c>
      <c r="H11" s="5">
        <v>670</v>
      </c>
      <c r="I11" s="5">
        <v>105</v>
      </c>
      <c r="J11" s="5">
        <v>295</v>
      </c>
      <c r="K11" s="5">
        <v>304</v>
      </c>
      <c r="L11" s="5">
        <v>401.99</v>
      </c>
      <c r="M11" s="5">
        <v>353.83</v>
      </c>
      <c r="N11" s="5">
        <v>67.73</v>
      </c>
      <c r="O11" s="25">
        <v>45.27</v>
      </c>
    </row>
    <row r="12" ht="14.25" spans="1:15">
      <c r="A12" s="1" t="s">
        <v>12</v>
      </c>
      <c r="B12" s="6" t="s">
        <v>17</v>
      </c>
      <c r="C12" s="7">
        <v>10000</v>
      </c>
      <c r="D12" s="7">
        <v>10000</v>
      </c>
      <c r="E12" s="26">
        <v>1</v>
      </c>
      <c r="F12" s="7">
        <v>139.09</v>
      </c>
      <c r="G12" s="7">
        <v>0</v>
      </c>
      <c r="H12" s="7">
        <v>597</v>
      </c>
      <c r="I12" s="7">
        <v>106</v>
      </c>
      <c r="J12" s="7">
        <v>295</v>
      </c>
      <c r="K12" s="7">
        <v>304</v>
      </c>
      <c r="L12" s="7">
        <v>401</v>
      </c>
      <c r="M12" s="7">
        <v>355.96</v>
      </c>
      <c r="N12" s="7">
        <v>56.31</v>
      </c>
      <c r="O12" s="27">
        <v>84.82</v>
      </c>
    </row>
    <row r="13" ht="14.25" spans="1:15">
      <c r="A13" s="1" t="s">
        <v>13</v>
      </c>
      <c r="B13" s="4" t="s">
        <v>32</v>
      </c>
      <c r="C13" s="5">
        <v>10000</v>
      </c>
      <c r="D13" s="5">
        <v>0</v>
      </c>
      <c r="E13" s="24">
        <v>0</v>
      </c>
      <c r="F13" s="5">
        <v>145.34</v>
      </c>
      <c r="G13" s="5">
        <v>0</v>
      </c>
      <c r="H13" s="5">
        <v>687</v>
      </c>
      <c r="I13" s="5">
        <v>107</v>
      </c>
      <c r="J13" s="5">
        <v>298</v>
      </c>
      <c r="K13" s="5">
        <v>308</v>
      </c>
      <c r="L13" s="5">
        <v>412</v>
      </c>
      <c r="M13" s="5">
        <v>331.21</v>
      </c>
      <c r="N13" s="5">
        <v>78.92</v>
      </c>
      <c r="O13" s="25">
        <v>42.37</v>
      </c>
    </row>
    <row r="14" spans="1:15">
      <c r="A14" s="1" t="s">
        <v>13</v>
      </c>
      <c r="B14" s="6" t="s">
        <v>17</v>
      </c>
      <c r="C14" s="7">
        <v>10000</v>
      </c>
      <c r="D14" s="7">
        <v>10000</v>
      </c>
      <c r="E14" s="26">
        <v>1</v>
      </c>
      <c r="F14" s="7">
        <v>148.8</v>
      </c>
      <c r="G14" s="7">
        <v>0</v>
      </c>
      <c r="H14" s="7">
        <v>598</v>
      </c>
      <c r="I14" s="7">
        <v>108</v>
      </c>
      <c r="J14" s="7">
        <v>298</v>
      </c>
      <c r="K14" s="7">
        <v>311</v>
      </c>
      <c r="L14" s="7">
        <v>404</v>
      </c>
      <c r="M14" s="7">
        <v>331.91</v>
      </c>
      <c r="N14" s="7">
        <v>69.69</v>
      </c>
      <c r="O14" s="27">
        <v>79.09</v>
      </c>
    </row>
    <row r="19" ht="15" spans="1:14">
      <c r="A19" s="3"/>
      <c r="B19" s="3"/>
      <c r="C19" s="8"/>
      <c r="D19" s="8"/>
      <c r="E19" s="3"/>
      <c r="F19" s="8"/>
      <c r="G19" s="8"/>
      <c r="H19" s="8"/>
      <c r="I19" s="8"/>
      <c r="J19" s="8"/>
      <c r="K19" s="8"/>
      <c r="L19" s="3"/>
      <c r="M19" s="3"/>
      <c r="N19" s="8"/>
    </row>
    <row r="20" ht="15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</sheetData>
  <mergeCells count="3">
    <mergeCell ref="C1:E1"/>
    <mergeCell ref="F1:L1"/>
    <mergeCell ref="N1:O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workbookViewId="0">
      <selection activeCell="C31" sqref="C31"/>
    </sheetView>
  </sheetViews>
  <sheetFormatPr defaultColWidth="9.02654867256637" defaultRowHeight="13.5"/>
  <cols>
    <col min="13" max="13" width="13.283185840708" customWidth="1"/>
    <col min="14" max="14" width="11.6902654867257" customWidth="1"/>
    <col min="15" max="15" width="12.6194690265487" customWidth="1"/>
  </cols>
  <sheetData>
    <row r="1" customFormat="1" ht="15" spans="1:15">
      <c r="C1" s="10" t="s">
        <v>14</v>
      </c>
      <c r="D1" s="10"/>
      <c r="E1" s="10"/>
      <c r="F1" s="10" t="s">
        <v>15</v>
      </c>
      <c r="G1" s="10"/>
      <c r="H1" s="10"/>
      <c r="I1" s="10"/>
      <c r="J1" s="10"/>
      <c r="K1" s="10"/>
      <c r="L1" s="10"/>
      <c r="N1" s="10" t="s">
        <v>16</v>
      </c>
      <c r="O1" s="10"/>
    </row>
    <row r="2" ht="30.75" spans="1:1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</row>
    <row r="3" ht="14.25" spans="1:15">
      <c r="A3" s="1" t="s">
        <v>6</v>
      </c>
      <c r="B3" s="20" t="s">
        <v>32</v>
      </c>
      <c r="C3" s="21">
        <v>10000</v>
      </c>
      <c r="D3" s="21">
        <v>0</v>
      </c>
      <c r="E3" s="22">
        <v>0</v>
      </c>
      <c r="F3" s="21">
        <v>295.08</v>
      </c>
      <c r="G3" s="21">
        <v>0</v>
      </c>
      <c r="H3" s="21">
        <v>4265</v>
      </c>
      <c r="I3" s="21">
        <v>195</v>
      </c>
      <c r="J3" s="21">
        <v>516</v>
      </c>
      <c r="K3" s="21">
        <v>688</v>
      </c>
      <c r="L3" s="21">
        <v>3873.21</v>
      </c>
      <c r="M3" s="21">
        <v>160.5</v>
      </c>
      <c r="N3" s="21">
        <v>35.09</v>
      </c>
      <c r="O3" s="23">
        <v>20.53</v>
      </c>
    </row>
    <row r="4" ht="14.25" spans="1:15">
      <c r="A4" s="1" t="s">
        <v>6</v>
      </c>
      <c r="B4" s="16" t="s">
        <v>17</v>
      </c>
      <c r="C4" s="17">
        <v>10000</v>
      </c>
      <c r="D4" s="17">
        <v>17</v>
      </c>
      <c r="E4" s="18">
        <v>0.0017</v>
      </c>
      <c r="F4" s="17">
        <v>307.59</v>
      </c>
      <c r="G4" s="17">
        <v>4</v>
      </c>
      <c r="H4" s="17">
        <v>6381</v>
      </c>
      <c r="I4" s="17">
        <v>199</v>
      </c>
      <c r="J4" s="17">
        <v>549</v>
      </c>
      <c r="K4" s="17">
        <v>786.95</v>
      </c>
      <c r="L4" s="17">
        <v>2634.64</v>
      </c>
      <c r="M4" s="17">
        <v>170.9</v>
      </c>
      <c r="N4" s="17">
        <v>29.31</v>
      </c>
      <c r="O4" s="19">
        <v>40.72</v>
      </c>
    </row>
    <row r="5" ht="14.25" spans="1:15">
      <c r="A5" s="1" t="s">
        <v>9</v>
      </c>
      <c r="B5" s="12" t="s">
        <v>32</v>
      </c>
      <c r="C5" s="13">
        <v>10000</v>
      </c>
      <c r="D5" s="13">
        <v>1</v>
      </c>
      <c r="E5" s="14">
        <v>0.0001</v>
      </c>
      <c r="F5" s="13">
        <v>207.2</v>
      </c>
      <c r="G5" s="13">
        <v>0</v>
      </c>
      <c r="H5" s="13">
        <v>3153</v>
      </c>
      <c r="I5" s="13">
        <v>140</v>
      </c>
      <c r="J5" s="13">
        <v>305.9</v>
      </c>
      <c r="K5" s="13">
        <v>423</v>
      </c>
      <c r="L5" s="13">
        <v>2459</v>
      </c>
      <c r="M5" s="13">
        <v>149.1</v>
      </c>
      <c r="N5" s="13">
        <v>14.56</v>
      </c>
      <c r="O5" s="15">
        <v>19.07</v>
      </c>
    </row>
    <row r="6" ht="14.25" spans="1:15">
      <c r="A6" s="1" t="s">
        <v>9</v>
      </c>
      <c r="B6" s="16" t="s">
        <v>17</v>
      </c>
      <c r="C6" s="17">
        <v>10000</v>
      </c>
      <c r="D6" s="17">
        <v>0</v>
      </c>
      <c r="E6" s="18">
        <v>0</v>
      </c>
      <c r="F6" s="17">
        <v>451.06</v>
      </c>
      <c r="G6" s="17">
        <v>4</v>
      </c>
      <c r="H6" s="17">
        <v>4255</v>
      </c>
      <c r="I6" s="17">
        <v>373</v>
      </c>
      <c r="J6" s="17">
        <v>683.9</v>
      </c>
      <c r="K6" s="17">
        <v>874</v>
      </c>
      <c r="L6" s="17">
        <v>1661.76</v>
      </c>
      <c r="M6" s="17">
        <v>154.78</v>
      </c>
      <c r="N6" s="17">
        <v>9.07</v>
      </c>
      <c r="O6" s="19">
        <v>36.88</v>
      </c>
    </row>
    <row r="7" ht="14.25" spans="1:15">
      <c r="A7" s="1" t="s">
        <v>10</v>
      </c>
      <c r="B7" s="12" t="s">
        <v>32</v>
      </c>
      <c r="C7" s="13">
        <v>10000</v>
      </c>
      <c r="D7" s="13">
        <v>24</v>
      </c>
      <c r="E7" s="14">
        <v>0.0024</v>
      </c>
      <c r="F7" s="13">
        <v>240.27</v>
      </c>
      <c r="G7" s="13">
        <v>0</v>
      </c>
      <c r="H7" s="13">
        <v>6024</v>
      </c>
      <c r="I7" s="13">
        <v>145</v>
      </c>
      <c r="J7" s="13">
        <v>461</v>
      </c>
      <c r="K7" s="13">
        <v>636.9</v>
      </c>
      <c r="L7" s="13">
        <v>2087</v>
      </c>
      <c r="M7" s="13">
        <v>179.38</v>
      </c>
      <c r="N7" s="13">
        <v>28.91</v>
      </c>
      <c r="O7" s="15">
        <v>22.95</v>
      </c>
    </row>
    <row r="8" ht="14.25" spans="1:15">
      <c r="A8" s="1" t="s">
        <v>10</v>
      </c>
      <c r="B8" s="16" t="s">
        <v>17</v>
      </c>
      <c r="C8" s="17">
        <v>10000</v>
      </c>
      <c r="D8" s="17">
        <v>38</v>
      </c>
      <c r="E8" s="18">
        <v>0.0038</v>
      </c>
      <c r="F8" s="17">
        <v>290.14</v>
      </c>
      <c r="G8" s="17">
        <v>3</v>
      </c>
      <c r="H8" s="17">
        <v>6604</v>
      </c>
      <c r="I8" s="17">
        <v>160</v>
      </c>
      <c r="J8" s="17">
        <v>536</v>
      </c>
      <c r="K8" s="17">
        <v>822.95</v>
      </c>
      <c r="L8" s="17">
        <v>3122.98</v>
      </c>
      <c r="M8" s="17">
        <v>186.35</v>
      </c>
      <c r="N8" s="17">
        <v>16.08</v>
      </c>
      <c r="O8" s="19">
        <v>44.4</v>
      </c>
    </row>
    <row r="9" ht="14.25" spans="1:15">
      <c r="A9" s="1" t="s">
        <v>11</v>
      </c>
      <c r="B9" s="12" t="s">
        <v>32</v>
      </c>
      <c r="C9" s="13">
        <v>10000</v>
      </c>
      <c r="D9" s="13">
        <v>9</v>
      </c>
      <c r="E9" s="14">
        <v>0.0009</v>
      </c>
      <c r="F9" s="13">
        <v>221.19</v>
      </c>
      <c r="G9" s="13">
        <v>0</v>
      </c>
      <c r="H9" s="13">
        <v>6427</v>
      </c>
      <c r="I9" s="13">
        <v>149</v>
      </c>
      <c r="J9" s="13">
        <v>431</v>
      </c>
      <c r="K9" s="13">
        <v>580.95</v>
      </c>
      <c r="L9" s="13">
        <v>1437.9</v>
      </c>
      <c r="M9" s="13">
        <v>188.79</v>
      </c>
      <c r="N9" s="13">
        <v>30.42</v>
      </c>
      <c r="O9" s="15">
        <v>24.15</v>
      </c>
    </row>
    <row r="10" ht="14.25" spans="1:15">
      <c r="A10" s="1" t="s">
        <v>11</v>
      </c>
      <c r="B10" s="16" t="s">
        <v>17</v>
      </c>
      <c r="C10" s="17">
        <v>10000</v>
      </c>
      <c r="D10" s="17">
        <v>11</v>
      </c>
      <c r="E10" s="18">
        <v>0.0011</v>
      </c>
      <c r="F10" s="17">
        <v>277.37</v>
      </c>
      <c r="G10" s="17">
        <v>3</v>
      </c>
      <c r="H10" s="17">
        <v>5604</v>
      </c>
      <c r="I10" s="17">
        <v>168</v>
      </c>
      <c r="J10" s="17">
        <v>517</v>
      </c>
      <c r="K10" s="17">
        <v>746.95</v>
      </c>
      <c r="L10" s="17">
        <v>2801.87</v>
      </c>
      <c r="M10" s="17">
        <v>189.59</v>
      </c>
      <c r="N10" s="17">
        <v>16.31</v>
      </c>
      <c r="O10" s="19">
        <v>45.18</v>
      </c>
    </row>
    <row r="11" ht="14.25" spans="1:15">
      <c r="A11" s="1" t="s">
        <v>12</v>
      </c>
      <c r="B11" s="12" t="s">
        <v>32</v>
      </c>
      <c r="C11" s="13">
        <v>10000</v>
      </c>
      <c r="D11" s="13">
        <v>0</v>
      </c>
      <c r="E11" s="14">
        <v>0</v>
      </c>
      <c r="F11" s="13">
        <v>142.95</v>
      </c>
      <c r="G11" s="13">
        <v>0</v>
      </c>
      <c r="H11" s="13">
        <v>837</v>
      </c>
      <c r="I11" s="13">
        <v>106</v>
      </c>
      <c r="J11" s="13">
        <v>297</v>
      </c>
      <c r="K11" s="13">
        <v>310</v>
      </c>
      <c r="L11" s="13">
        <v>437</v>
      </c>
      <c r="M11" s="13">
        <v>338.5</v>
      </c>
      <c r="N11" s="13">
        <v>64.79</v>
      </c>
      <c r="O11" s="15">
        <v>43.3</v>
      </c>
    </row>
    <row r="12" ht="14.25" spans="1:15">
      <c r="A12" s="1" t="s">
        <v>12</v>
      </c>
      <c r="B12" s="16" t="s">
        <v>17</v>
      </c>
      <c r="C12" s="17">
        <v>10000</v>
      </c>
      <c r="D12" s="17">
        <v>10000</v>
      </c>
      <c r="E12" s="18">
        <v>1</v>
      </c>
      <c r="F12" s="17">
        <v>146.1</v>
      </c>
      <c r="G12" s="17">
        <v>0</v>
      </c>
      <c r="H12" s="17">
        <v>596</v>
      </c>
      <c r="I12" s="17">
        <v>108</v>
      </c>
      <c r="J12" s="17">
        <v>298</v>
      </c>
      <c r="K12" s="17">
        <v>308</v>
      </c>
      <c r="L12" s="17">
        <v>404</v>
      </c>
      <c r="M12" s="17">
        <v>340.31</v>
      </c>
      <c r="N12" s="17">
        <v>53.84</v>
      </c>
      <c r="O12" s="19">
        <v>81.09</v>
      </c>
    </row>
    <row r="13" ht="14.25" spans="1:15">
      <c r="A13" s="1" t="s">
        <v>13</v>
      </c>
      <c r="B13" s="12" t="s">
        <v>32</v>
      </c>
      <c r="C13" s="13">
        <v>10000</v>
      </c>
      <c r="D13" s="13">
        <v>0</v>
      </c>
      <c r="E13" s="14">
        <v>0</v>
      </c>
      <c r="F13" s="13">
        <v>150.41</v>
      </c>
      <c r="G13" s="13">
        <v>0</v>
      </c>
      <c r="H13" s="13">
        <v>714</v>
      </c>
      <c r="I13" s="13">
        <v>109</v>
      </c>
      <c r="J13" s="13">
        <v>299</v>
      </c>
      <c r="K13" s="13">
        <v>388</v>
      </c>
      <c r="L13" s="13">
        <v>421.99</v>
      </c>
      <c r="M13" s="13">
        <v>322.51</v>
      </c>
      <c r="N13" s="13">
        <v>76.85</v>
      </c>
      <c r="O13" s="15">
        <v>41.26</v>
      </c>
    </row>
    <row r="14" spans="1:15">
      <c r="A14" s="1" t="s">
        <v>13</v>
      </c>
      <c r="B14" s="16" t="s">
        <v>17</v>
      </c>
      <c r="C14" s="17">
        <v>10000</v>
      </c>
      <c r="D14" s="17">
        <v>10000</v>
      </c>
      <c r="E14" s="18">
        <v>1</v>
      </c>
      <c r="F14" s="17">
        <v>151.8</v>
      </c>
      <c r="G14" s="17">
        <v>0</v>
      </c>
      <c r="H14" s="17">
        <v>600</v>
      </c>
      <c r="I14" s="17">
        <v>110</v>
      </c>
      <c r="J14" s="17">
        <v>299</v>
      </c>
      <c r="K14" s="17">
        <v>373</v>
      </c>
      <c r="L14" s="17">
        <v>407.99</v>
      </c>
      <c r="M14" s="17">
        <v>323.15</v>
      </c>
      <c r="N14" s="17">
        <v>67.85</v>
      </c>
      <c r="O14" s="19">
        <v>77</v>
      </c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3">
    <mergeCell ref="C1:E1"/>
    <mergeCell ref="F1:L1"/>
    <mergeCell ref="N1:O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J15" sqref="J15"/>
    </sheetView>
  </sheetViews>
  <sheetFormatPr defaultColWidth="9.02654867256637" defaultRowHeight="13.5"/>
  <cols>
    <col min="14" max="14" width="9.63716814159292" customWidth="1"/>
  </cols>
  <sheetData>
    <row r="1" customFormat="1" ht="15" spans="1:15">
      <c r="C1" s="10" t="s">
        <v>14</v>
      </c>
      <c r="D1" s="10"/>
      <c r="E1" s="10"/>
      <c r="F1" s="10" t="s">
        <v>15</v>
      </c>
      <c r="G1" s="10"/>
      <c r="H1" s="10"/>
      <c r="I1" s="10"/>
      <c r="J1" s="10"/>
      <c r="K1" s="10"/>
      <c r="L1" s="10"/>
      <c r="N1" s="10" t="s">
        <v>16</v>
      </c>
      <c r="O1" s="10"/>
    </row>
    <row r="2" ht="30.75" spans="1:15">
      <c r="A2" s="11" t="s">
        <v>17</v>
      </c>
      <c r="B2" s="11" t="s">
        <v>18</v>
      </c>
      <c r="C2" s="11" t="s">
        <v>19</v>
      </c>
      <c r="D2" s="11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1" t="s">
        <v>25</v>
      </c>
      <c r="J2" s="11" t="s">
        <v>26</v>
      </c>
      <c r="K2" s="11" t="s">
        <v>27</v>
      </c>
      <c r="L2" s="11" t="s">
        <v>28</v>
      </c>
      <c r="M2" s="11" t="s">
        <v>29</v>
      </c>
      <c r="N2" s="11" t="s">
        <v>30</v>
      </c>
      <c r="O2" s="11" t="s">
        <v>31</v>
      </c>
    </row>
    <row r="3" s="1" customFormat="1" ht="14.25" spans="1:15">
      <c r="A3" s="1" t="s">
        <v>6</v>
      </c>
      <c r="B3" s="12" t="s">
        <v>32</v>
      </c>
      <c r="C3" s="13">
        <v>10000</v>
      </c>
      <c r="D3" s="13">
        <v>0</v>
      </c>
      <c r="E3" s="14">
        <v>0</v>
      </c>
      <c r="F3" s="13">
        <v>289.24</v>
      </c>
      <c r="G3" s="13">
        <v>0</v>
      </c>
      <c r="H3" s="13">
        <v>4260</v>
      </c>
      <c r="I3" s="13">
        <v>190</v>
      </c>
      <c r="J3" s="13">
        <v>516</v>
      </c>
      <c r="K3" s="13">
        <v>719</v>
      </c>
      <c r="L3" s="13">
        <v>3198</v>
      </c>
      <c r="M3" s="13">
        <v>162.13</v>
      </c>
      <c r="N3" s="13">
        <v>35.46</v>
      </c>
      <c r="O3" s="15">
        <v>20.74</v>
      </c>
    </row>
    <row r="4" s="1" customFormat="1" ht="14.25" spans="1:15">
      <c r="A4" s="1" t="s">
        <v>6</v>
      </c>
      <c r="B4" s="16" t="s">
        <v>17</v>
      </c>
      <c r="C4" s="17">
        <v>10000</v>
      </c>
      <c r="D4" s="17">
        <v>17</v>
      </c>
      <c r="E4" s="18">
        <v>0.0017</v>
      </c>
      <c r="F4" s="17">
        <v>305.66</v>
      </c>
      <c r="G4" s="17">
        <v>4</v>
      </c>
      <c r="H4" s="17">
        <v>6273</v>
      </c>
      <c r="I4" s="17">
        <v>193</v>
      </c>
      <c r="J4" s="17">
        <v>556</v>
      </c>
      <c r="K4" s="17">
        <v>803</v>
      </c>
      <c r="L4" s="17">
        <v>2801.9</v>
      </c>
      <c r="M4" s="17">
        <v>170.73</v>
      </c>
      <c r="N4" s="17">
        <v>29.28</v>
      </c>
      <c r="O4" s="19">
        <v>40.68</v>
      </c>
    </row>
    <row r="5" s="1" customFormat="1" ht="14.25" spans="1:15">
      <c r="A5" s="1" t="s">
        <v>9</v>
      </c>
      <c r="B5" s="12" t="s">
        <v>32</v>
      </c>
      <c r="C5" s="13">
        <v>10000</v>
      </c>
      <c r="D5" s="13">
        <v>1</v>
      </c>
      <c r="E5" s="14">
        <v>0.0001</v>
      </c>
      <c r="F5" s="13">
        <v>198.61</v>
      </c>
      <c r="G5" s="13">
        <v>1</v>
      </c>
      <c r="H5" s="13">
        <v>3050</v>
      </c>
      <c r="I5" s="13">
        <v>137</v>
      </c>
      <c r="J5" s="13">
        <v>298</v>
      </c>
      <c r="K5" s="13">
        <v>405</v>
      </c>
      <c r="L5" s="13">
        <v>2374.99</v>
      </c>
      <c r="M5" s="13">
        <v>154.03</v>
      </c>
      <c r="N5" s="13">
        <v>15.04</v>
      </c>
      <c r="O5" s="15">
        <v>19.7</v>
      </c>
    </row>
    <row r="6" s="1" customFormat="1" ht="14.25" spans="1:15">
      <c r="A6" s="1" t="s">
        <v>9</v>
      </c>
      <c r="B6" s="16" t="s">
        <v>17</v>
      </c>
      <c r="C6" s="17">
        <v>10000</v>
      </c>
      <c r="D6" s="17">
        <v>0</v>
      </c>
      <c r="E6" s="18">
        <v>0</v>
      </c>
      <c r="F6" s="17">
        <v>439.53</v>
      </c>
      <c r="G6" s="17">
        <v>4</v>
      </c>
      <c r="H6" s="17">
        <v>3391</v>
      </c>
      <c r="I6" s="17">
        <v>368</v>
      </c>
      <c r="J6" s="17">
        <v>682</v>
      </c>
      <c r="K6" s="17">
        <v>923.95</v>
      </c>
      <c r="L6" s="17">
        <v>1522.88</v>
      </c>
      <c r="M6" s="17">
        <v>159.88</v>
      </c>
      <c r="N6" s="17">
        <v>9.37</v>
      </c>
      <c r="O6" s="19">
        <v>38.1</v>
      </c>
    </row>
    <row r="7" s="1" customFormat="1" ht="14.25" spans="1:15">
      <c r="A7" s="1" t="s">
        <v>10</v>
      </c>
      <c r="B7" s="12" t="s">
        <v>32</v>
      </c>
      <c r="C7" s="13">
        <v>10000</v>
      </c>
      <c r="D7" s="13">
        <v>29</v>
      </c>
      <c r="E7" s="14">
        <v>0.0029</v>
      </c>
      <c r="F7" s="13">
        <v>226.41</v>
      </c>
      <c r="G7" s="13">
        <v>0</v>
      </c>
      <c r="H7" s="13">
        <v>6335</v>
      </c>
      <c r="I7" s="13">
        <v>136</v>
      </c>
      <c r="J7" s="13">
        <v>425</v>
      </c>
      <c r="K7" s="13">
        <v>593</v>
      </c>
      <c r="L7" s="13">
        <v>2043</v>
      </c>
      <c r="M7" s="13">
        <v>190.54</v>
      </c>
      <c r="N7" s="13">
        <v>30.71</v>
      </c>
      <c r="O7" s="15">
        <v>24.38</v>
      </c>
    </row>
    <row r="8" s="1" customFormat="1" ht="14.25" spans="1:15">
      <c r="A8" s="1" t="s">
        <v>10</v>
      </c>
      <c r="B8" s="16" t="s">
        <v>17</v>
      </c>
      <c r="C8" s="17">
        <v>10000</v>
      </c>
      <c r="D8" s="17">
        <v>32</v>
      </c>
      <c r="E8" s="18">
        <v>0.0032</v>
      </c>
      <c r="F8" s="17">
        <v>267.92</v>
      </c>
      <c r="G8" s="17">
        <v>3</v>
      </c>
      <c r="H8" s="17">
        <v>8730</v>
      </c>
      <c r="I8" s="17">
        <v>147</v>
      </c>
      <c r="J8" s="17">
        <v>483</v>
      </c>
      <c r="K8" s="17">
        <v>728.95</v>
      </c>
      <c r="L8" s="17">
        <v>3084</v>
      </c>
      <c r="M8" s="17">
        <v>197.51</v>
      </c>
      <c r="N8" s="17">
        <v>17.03</v>
      </c>
      <c r="O8" s="19">
        <v>47.06</v>
      </c>
    </row>
    <row r="9" s="1" customFormat="1" ht="14.25" spans="1:15">
      <c r="A9" s="1" t="s">
        <v>11</v>
      </c>
      <c r="B9" s="12" t="s">
        <v>32</v>
      </c>
      <c r="C9" s="13">
        <v>10000</v>
      </c>
      <c r="D9" s="13">
        <v>6</v>
      </c>
      <c r="E9" s="14">
        <v>0.0006</v>
      </c>
      <c r="F9" s="13">
        <v>214.07</v>
      </c>
      <c r="G9" s="13">
        <v>0</v>
      </c>
      <c r="H9" s="13">
        <v>5108</v>
      </c>
      <c r="I9" s="13">
        <v>145</v>
      </c>
      <c r="J9" s="13">
        <v>423</v>
      </c>
      <c r="K9" s="13">
        <v>556</v>
      </c>
      <c r="L9" s="13">
        <v>1216.87</v>
      </c>
      <c r="M9" s="13">
        <v>190.64</v>
      </c>
      <c r="N9" s="13">
        <v>30.72</v>
      </c>
      <c r="O9" s="15">
        <v>24.39</v>
      </c>
    </row>
    <row r="10" s="1" customFormat="1" ht="14.25" spans="1:15">
      <c r="A10" s="1" t="s">
        <v>11</v>
      </c>
      <c r="B10" s="16" t="s">
        <v>17</v>
      </c>
      <c r="C10" s="17">
        <v>10000</v>
      </c>
      <c r="D10" s="17">
        <v>7</v>
      </c>
      <c r="E10" s="18">
        <v>0.0007</v>
      </c>
      <c r="F10" s="17">
        <v>277.66</v>
      </c>
      <c r="G10" s="17">
        <v>4</v>
      </c>
      <c r="H10" s="17">
        <v>5887</v>
      </c>
      <c r="I10" s="17">
        <v>167</v>
      </c>
      <c r="J10" s="17">
        <v>507</v>
      </c>
      <c r="K10" s="17">
        <v>729</v>
      </c>
      <c r="L10" s="17">
        <v>2908.71</v>
      </c>
      <c r="M10" s="17">
        <v>191.34</v>
      </c>
      <c r="N10" s="17">
        <v>16.46</v>
      </c>
      <c r="O10" s="19">
        <v>45.59</v>
      </c>
    </row>
    <row r="11" s="1" customFormat="1" ht="14.25" spans="1:15">
      <c r="A11" s="1" t="s">
        <v>12</v>
      </c>
      <c r="B11" s="12" t="s">
        <v>32</v>
      </c>
      <c r="C11" s="13">
        <v>10000</v>
      </c>
      <c r="D11" s="13">
        <v>0</v>
      </c>
      <c r="E11" s="14">
        <v>0</v>
      </c>
      <c r="F11" s="13">
        <v>144.04</v>
      </c>
      <c r="G11" s="13">
        <v>0</v>
      </c>
      <c r="H11" s="13">
        <v>762</v>
      </c>
      <c r="I11" s="13">
        <v>106</v>
      </c>
      <c r="J11" s="13">
        <v>298</v>
      </c>
      <c r="K11" s="13">
        <v>311</v>
      </c>
      <c r="L11" s="13">
        <v>466</v>
      </c>
      <c r="M11" s="13">
        <v>338.13</v>
      </c>
      <c r="N11" s="13">
        <v>64.72</v>
      </c>
      <c r="O11" s="15">
        <v>43.26</v>
      </c>
    </row>
    <row r="12" s="1" customFormat="1" ht="14.25" spans="1:15">
      <c r="A12" s="1" t="s">
        <v>12</v>
      </c>
      <c r="B12" s="16" t="s">
        <v>17</v>
      </c>
      <c r="C12" s="17">
        <v>10000</v>
      </c>
      <c r="D12" s="17">
        <v>10000</v>
      </c>
      <c r="E12" s="18">
        <v>1</v>
      </c>
      <c r="F12" s="17">
        <v>143.98</v>
      </c>
      <c r="G12" s="17">
        <v>0</v>
      </c>
      <c r="H12" s="17">
        <v>603</v>
      </c>
      <c r="I12" s="17">
        <v>107</v>
      </c>
      <c r="J12" s="17">
        <v>297</v>
      </c>
      <c r="K12" s="17">
        <v>306</v>
      </c>
      <c r="L12" s="17">
        <v>402</v>
      </c>
      <c r="M12" s="17">
        <v>338.98</v>
      </c>
      <c r="N12" s="17">
        <v>53.63</v>
      </c>
      <c r="O12" s="19">
        <v>80.77</v>
      </c>
    </row>
    <row r="13" s="1" customFormat="1" ht="14.25" spans="1:15">
      <c r="A13" s="1" t="s">
        <v>13</v>
      </c>
      <c r="B13" s="12" t="s">
        <v>32</v>
      </c>
      <c r="C13" s="13">
        <v>10000</v>
      </c>
      <c r="D13" s="13">
        <v>0</v>
      </c>
      <c r="E13" s="14">
        <v>0</v>
      </c>
      <c r="F13" s="13">
        <v>155.75</v>
      </c>
      <c r="G13" s="13">
        <v>0</v>
      </c>
      <c r="H13" s="13">
        <v>720</v>
      </c>
      <c r="I13" s="13">
        <v>110</v>
      </c>
      <c r="J13" s="13">
        <v>301</v>
      </c>
      <c r="K13" s="13">
        <v>392</v>
      </c>
      <c r="L13" s="13">
        <v>490</v>
      </c>
      <c r="M13" s="13">
        <v>313.14</v>
      </c>
      <c r="N13" s="13">
        <v>74.61</v>
      </c>
      <c r="O13" s="15">
        <v>40.06</v>
      </c>
    </row>
    <row r="14" s="1" customFormat="1" spans="1:15">
      <c r="A14" s="1" t="s">
        <v>13</v>
      </c>
      <c r="B14" s="16" t="s">
        <v>17</v>
      </c>
      <c r="C14" s="17">
        <v>10000</v>
      </c>
      <c r="D14" s="17">
        <v>10000</v>
      </c>
      <c r="E14" s="18">
        <v>1</v>
      </c>
      <c r="F14" s="17">
        <v>155.18</v>
      </c>
      <c r="G14" s="17">
        <v>0</v>
      </c>
      <c r="H14" s="17">
        <v>605</v>
      </c>
      <c r="I14" s="17">
        <v>110.5</v>
      </c>
      <c r="J14" s="17">
        <v>301</v>
      </c>
      <c r="K14" s="17">
        <v>391</v>
      </c>
      <c r="L14" s="17">
        <v>488</v>
      </c>
      <c r="M14" s="17">
        <v>313.73</v>
      </c>
      <c r="N14" s="17">
        <v>65.87</v>
      </c>
      <c r="O14" s="19">
        <v>74.75</v>
      </c>
    </row>
  </sheetData>
  <mergeCells count="3">
    <mergeCell ref="C1:E1"/>
    <mergeCell ref="F1:L1"/>
    <mergeCell ref="N1:O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G26" sqref="G26"/>
    </sheetView>
  </sheetViews>
  <sheetFormatPr defaultColWidth="9.02654867256637" defaultRowHeight="13.5" outlineLevelCol="6"/>
  <cols>
    <col min="1" max="1" width="13.3451327433628" customWidth="1"/>
    <col min="2" max="2" width="9.02654867256637" customWidth="1"/>
    <col min="3" max="3" width="12.7964601769912" customWidth="1"/>
    <col min="4" max="5" width="12.7964601769912"/>
  </cols>
  <sheetData>
    <row r="1" spans="1: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/>
    </row>
    <row r="2" spans="1:7">
      <c r="A2" s="1" t="s">
        <v>6</v>
      </c>
      <c r="B2" s="1" t="s">
        <v>7</v>
      </c>
      <c r="C2" s="1">
        <f>AVERAGE(ab_r_1!C2,ab_r_2!C2,ab_r_3!C2)</f>
        <v>413.39</v>
      </c>
      <c r="D2" s="1">
        <f>AVERAGE(ab_r_1!D2,ab_r_2!D2,ab_r_3!D2)</f>
        <v>241.938</v>
      </c>
      <c r="E2" s="1">
        <f>AVERAGE(ab_r_1!E2,ab_r_2!E2,ab_r_3!E2)</f>
        <v>429</v>
      </c>
      <c r="F2" s="1">
        <f>AVERAGE(ab_r_1!F2,ab_r_2!F2,ab_r_3!F2)</f>
        <v>0</v>
      </c>
      <c r="G2" s="1"/>
    </row>
    <row r="3" spans="1:7">
      <c r="A3" s="1" t="s">
        <v>6</v>
      </c>
      <c r="B3" s="1" t="s">
        <v>8</v>
      </c>
      <c r="C3" s="1">
        <f>AVERAGE(ab_r_1!C3,ab_r_2!C3,ab_r_3!C3)</f>
        <v>524.76</v>
      </c>
      <c r="D3" s="1">
        <f>AVERAGE(ab_r_1!D3,ab_r_2!D3,ab_r_3!D3)</f>
        <v>190.660666666667</v>
      </c>
      <c r="E3" s="1">
        <f>AVERAGE(ab_r_1!E3,ab_r_2!E3,ab_r_3!E3)</f>
        <v>433.333333333333</v>
      </c>
      <c r="F3" s="1">
        <f>AVERAGE(ab_r_1!F3,ab_r_2!F3,ab_r_3!F3)</f>
        <v>0</v>
      </c>
      <c r="G3" s="1"/>
    </row>
    <row r="4" spans="1:7">
      <c r="A4" s="1" t="s">
        <v>9</v>
      </c>
      <c r="B4" s="1" t="s">
        <v>7</v>
      </c>
      <c r="C4" s="1">
        <f>AVERAGE(ab_r_1!C4,ab_r_2!C4,ab_r_3!C4)</f>
        <v>431.503333333333</v>
      </c>
      <c r="D4" s="1">
        <f>AVERAGE(ab_r_1!D4,ab_r_2!D4,ab_r_3!D4)</f>
        <v>231.751333333333</v>
      </c>
      <c r="E4" s="1">
        <f>AVERAGE(ab_r_1!E4,ab_r_2!E4,ab_r_3!E4)</f>
        <v>499.333333333333</v>
      </c>
      <c r="F4" s="1">
        <f>AVERAGE(ab_r_1!F4,ab_r_2!F4,ab_r_3!F4)</f>
        <v>0</v>
      </c>
      <c r="G4" s="1"/>
    </row>
    <row r="5" spans="1:7">
      <c r="A5" s="1" t="s">
        <v>9</v>
      </c>
      <c r="B5" s="1" t="s">
        <v>8</v>
      </c>
      <c r="C5" s="1">
        <f>AVERAGE(ab_r_1!C5,ab_r_2!C5,ab_r_3!C5)</f>
        <v>1287.51333333333</v>
      </c>
      <c r="D5" s="1">
        <f>AVERAGE(ab_r_1!D5,ab_r_2!D5,ab_r_3!D5)</f>
        <v>77.6953333333333</v>
      </c>
      <c r="E5" s="1">
        <f>AVERAGE(ab_r_1!E5,ab_r_2!E5,ab_r_3!E5)</f>
        <v>98.3333333333333</v>
      </c>
      <c r="F5" s="1">
        <f>AVERAGE(ab_r_1!F5,ab_r_2!F5,ab_r_3!F5)</f>
        <v>0</v>
      </c>
      <c r="G5" s="1"/>
    </row>
    <row r="6" spans="1:7">
      <c r="A6" s="1" t="s">
        <v>10</v>
      </c>
      <c r="B6" s="1" t="s">
        <v>7</v>
      </c>
      <c r="C6" s="1">
        <f>AVERAGE(ab_r_1!C6,ab_r_2!C6,ab_r_3!C6)</f>
        <v>571.763333333333</v>
      </c>
      <c r="D6" s="1">
        <f>AVERAGE(ab_r_1!D6,ab_r_2!D6,ab_r_3!D6)</f>
        <v>174.944333333333</v>
      </c>
      <c r="E6" s="1">
        <f>AVERAGE(ab_r_1!E6,ab_r_2!E6,ab_r_3!E6)</f>
        <v>361.333333333333</v>
      </c>
      <c r="F6" s="1">
        <f>AVERAGE(ab_r_1!F6,ab_r_2!F6,ab_r_3!F6)</f>
        <v>0</v>
      </c>
      <c r="G6" s="1"/>
    </row>
    <row r="7" spans="1:7">
      <c r="A7" s="1" t="s">
        <v>10</v>
      </c>
      <c r="B7" s="1" t="s">
        <v>8</v>
      </c>
      <c r="C7" s="1">
        <f>AVERAGE(ab_r_1!C7,ab_r_2!C7,ab_r_3!C7)</f>
        <v>1083.94333333333</v>
      </c>
      <c r="D7" s="1">
        <f>AVERAGE(ab_r_1!D7,ab_r_2!D7,ab_r_3!D7)</f>
        <v>92.301</v>
      </c>
      <c r="E7" s="1">
        <f>AVERAGE(ab_r_1!E7,ab_r_2!E7,ab_r_3!E7)</f>
        <v>107</v>
      </c>
      <c r="F7" s="1">
        <f>AVERAGE(ab_r_1!F7,ab_r_2!F7,ab_r_3!F7)</f>
        <v>0</v>
      </c>
      <c r="G7" s="1"/>
    </row>
    <row r="8" spans="1:7">
      <c r="A8" s="1" t="s">
        <v>11</v>
      </c>
      <c r="B8" s="1" t="s">
        <v>7</v>
      </c>
      <c r="C8" s="1">
        <f>AVERAGE(ab_r_1!C8,ab_r_2!C8,ab_r_3!C8)</f>
        <v>1160.89333333333</v>
      </c>
      <c r="D8" s="1">
        <f>AVERAGE(ab_r_1!D8,ab_r_2!D8,ab_r_3!D8)</f>
        <v>86.3403333333333</v>
      </c>
      <c r="E8" s="1">
        <f>AVERAGE(ab_r_1!E8,ab_r_2!E8,ab_r_3!E8)</f>
        <v>163</v>
      </c>
      <c r="F8" s="1">
        <f>AVERAGE(ab_r_1!F8,ab_r_2!F8,ab_r_3!F8)</f>
        <v>0</v>
      </c>
      <c r="G8" s="1"/>
    </row>
    <row r="9" spans="1:7">
      <c r="A9" s="1" t="s">
        <v>11</v>
      </c>
      <c r="B9" s="1" t="s">
        <v>8</v>
      </c>
      <c r="C9" s="1">
        <f>AVERAGE(ab_r_1!C9,ab_r_2!C9,ab_r_3!C9)</f>
        <v>1676.56</v>
      </c>
      <c r="D9" s="1">
        <f>AVERAGE(ab_r_1!D9,ab_r_2!D9,ab_r_3!D9)</f>
        <v>59.6623333333333</v>
      </c>
      <c r="E9" s="1">
        <f>AVERAGE(ab_r_1!E9,ab_r_2!E9,ab_r_3!E9)</f>
        <v>93</v>
      </c>
      <c r="F9" s="1">
        <f>AVERAGE(ab_r_1!F9,ab_r_2!F9,ab_r_3!F9)</f>
        <v>0</v>
      </c>
      <c r="G9" s="1"/>
    </row>
    <row r="10" spans="1:7">
      <c r="A10" s="1" t="s">
        <v>12</v>
      </c>
      <c r="B10" s="1" t="s">
        <v>7</v>
      </c>
      <c r="C10" s="1">
        <f>AVERAGE(ab_r_1!C10,ab_r_2!C10,ab_r_3!C10)</f>
        <v>579.15</v>
      </c>
      <c r="D10" s="1">
        <f>AVERAGE(ab_r_1!D10,ab_r_2!D10,ab_r_3!D10)</f>
        <v>172.686</v>
      </c>
      <c r="E10" s="1">
        <f>AVERAGE(ab_r_1!E10,ab_r_2!E10,ab_r_3!E10)</f>
        <v>386.666666666667</v>
      </c>
      <c r="F10" s="1">
        <f>AVERAGE(ab_r_1!F10,ab_r_2!F10,ab_r_3!F10)</f>
        <v>0</v>
      </c>
      <c r="G10" s="1"/>
    </row>
    <row r="11" spans="1:7">
      <c r="A11" s="1" t="s">
        <v>12</v>
      </c>
      <c r="B11" s="1" t="s">
        <v>8</v>
      </c>
      <c r="C11" s="1">
        <f>AVERAGE(ab_r_1!C11,ab_r_2!C11,ab_r_3!C11)</f>
        <v>1437.22666666667</v>
      </c>
      <c r="D11" s="1">
        <f>AVERAGE(ab_r_1!D11,ab_r_2!D11,ab_r_3!D11)</f>
        <v>69.772</v>
      </c>
      <c r="E11" s="1">
        <f>AVERAGE(ab_r_1!E11,ab_r_2!E11,ab_r_3!E11)</f>
        <v>172.666666666667</v>
      </c>
      <c r="F11" s="1">
        <f>AVERAGE(ab_r_1!F11,ab_r_2!F11,ab_r_3!F11)</f>
        <v>0</v>
      </c>
      <c r="G11" s="1"/>
    </row>
    <row r="12" spans="1:7">
      <c r="A12" s="1" t="s">
        <v>13</v>
      </c>
      <c r="B12" s="1" t="s">
        <v>7</v>
      </c>
      <c r="C12" s="1">
        <f>AVERAGE(ab_r_1!C12,ab_r_2!C12,ab_r_3!C12)</f>
        <v>556.86</v>
      </c>
      <c r="D12" s="1">
        <f>AVERAGE(ab_r_1!D12,ab_r_2!D12,ab_r_3!D12)</f>
        <v>179.606333333333</v>
      </c>
      <c r="E12" s="1">
        <f>AVERAGE(ab_r_1!E12,ab_r_2!E12,ab_r_3!E12)</f>
        <v>390.333333333333</v>
      </c>
      <c r="F12" s="1">
        <f>AVERAGE(ab_r_1!F12,ab_r_2!F12,ab_r_3!F12)</f>
        <v>0</v>
      </c>
      <c r="G12" s="1"/>
    </row>
    <row r="13" spans="1:7">
      <c r="A13" s="1" t="s">
        <v>13</v>
      </c>
      <c r="B13" s="1" t="s">
        <v>8</v>
      </c>
      <c r="C13" s="1">
        <f>AVERAGE(ab_r_1!C13,ab_r_2!C13,ab_r_3!C13)</f>
        <v>973.31</v>
      </c>
      <c r="D13" s="1">
        <f>AVERAGE(ab_r_1!D13,ab_r_2!D13,ab_r_3!D13)</f>
        <v>102.749</v>
      </c>
      <c r="E13" s="1">
        <f>AVERAGE(ab_r_1!E13,ab_r_2!E13,ab_r_3!E13)</f>
        <v>181.666666666667</v>
      </c>
      <c r="F13" s="1">
        <f>AVERAGE(ab_r_1!F13,ab_r_2!F13,ab_r_3!F13)</f>
        <v>0</v>
      </c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</sheetData>
  <autoFilter xmlns:etc="http://www.wps.cn/officeDocument/2017/etCustomData" ref="B1:B18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abSelected="1" workbookViewId="0">
      <selection activeCell="H37" sqref="H37"/>
    </sheetView>
  </sheetViews>
  <sheetFormatPr defaultColWidth="9.02654867256637" defaultRowHeight="13.5"/>
  <cols>
    <col min="2" max="3" width="9.02654867256637" customWidth="1"/>
    <col min="4" max="12" width="11.8849557522124" customWidth="1"/>
    <col min="13" max="15" width="11.8849557522124"/>
  </cols>
  <sheetData>
    <row r="1" ht="15" spans="1:16">
      <c r="A1" s="1"/>
      <c r="B1" s="1"/>
      <c r="C1" s="2" t="s">
        <v>14</v>
      </c>
      <c r="D1" s="2"/>
      <c r="E1" s="2"/>
      <c r="F1" s="2" t="s">
        <v>15</v>
      </c>
      <c r="G1" s="2"/>
      <c r="H1" s="2"/>
      <c r="I1" s="2"/>
      <c r="J1" s="2"/>
      <c r="K1" s="2"/>
      <c r="L1" s="2"/>
      <c r="M1" s="1"/>
      <c r="N1" s="2" t="s">
        <v>16</v>
      </c>
      <c r="O1" s="2"/>
      <c r="P1" s="1"/>
    </row>
    <row r="2" ht="30.75" spans="1:16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1"/>
    </row>
    <row r="3" ht="14.25" spans="1:16">
      <c r="A3" s="1" t="s">
        <v>6</v>
      </c>
      <c r="B3" s="4" t="s">
        <v>32</v>
      </c>
      <c r="C3" s="5">
        <v>10000</v>
      </c>
      <c r="D3" s="5">
        <f>AVERAGE(jm_r_1!D3,jm_r_2!D3,jm_r_3!D3)</f>
        <v>0</v>
      </c>
      <c r="E3" s="5">
        <f>AVERAGE(jm_r_1!E3,jm_r_2!E3,jm_r_3!E3)</f>
        <v>0</v>
      </c>
      <c r="F3" s="5">
        <f>AVERAGE(jm_r_1!F3,jm_r_2!F3,jm_r_3!F3)</f>
        <v>296.403333333333</v>
      </c>
      <c r="G3" s="5">
        <f>AVERAGE(jm_r_1!G3,jm_r_2!G3,jm_r_3!G3)</f>
        <v>0</v>
      </c>
      <c r="H3" s="5">
        <f>AVERAGE(jm_r_1!H3,jm_r_2!H3,jm_r_3!H3)</f>
        <v>4334</v>
      </c>
      <c r="I3" s="5">
        <f>AVERAGE(jm_r_1!I3,jm_r_2!I3,jm_r_3!I3)</f>
        <v>192.666666666667</v>
      </c>
      <c r="J3" s="5">
        <f>AVERAGE(jm_r_1!J3,jm_r_2!J3,jm_r_3!J3)</f>
        <v>524.666666666667</v>
      </c>
      <c r="K3" s="5">
        <f>AVERAGE(jm_r_1!K3,jm_r_2!K3,jm_r_3!K3)</f>
        <v>717</v>
      </c>
      <c r="L3" s="5">
        <f>AVERAGE(jm_r_1!L3,jm_r_2!L3,jm_r_3!L3)</f>
        <v>3616.73666666667</v>
      </c>
      <c r="M3" s="5">
        <f>AVERAGE(jm_r_1!M3,jm_r_2!M3,jm_r_3!M3)</f>
        <v>159.91</v>
      </c>
      <c r="N3" s="5">
        <f>AVERAGE(jm_r_1!N3,jm_r_2!N3,jm_r_3!N3)</f>
        <v>34.9666666666667</v>
      </c>
      <c r="O3" s="5">
        <f>AVERAGE(jm_r_1!O3,jm_r_2!O3,jm_r_3!O3)</f>
        <v>20.4566666666667</v>
      </c>
      <c r="P3" s="1"/>
    </row>
    <row r="4" ht="14.25" spans="1:16">
      <c r="A4" s="1" t="s">
        <v>6</v>
      </c>
      <c r="B4" s="6" t="s">
        <v>17</v>
      </c>
      <c r="C4" s="7">
        <v>10000</v>
      </c>
      <c r="D4" s="5">
        <f>AVERAGE(jm_r_1!D4,jm_r_2!D4,jm_r_3!D4)</f>
        <v>17</v>
      </c>
      <c r="E4" s="5">
        <f>AVERAGE(jm_r_1!E4,jm_r_2!E4,jm_r_3!E4)</f>
        <v>0.0017</v>
      </c>
      <c r="F4" s="5">
        <f>AVERAGE(jm_r_1!F4,jm_r_2!F4,jm_r_3!F4)</f>
        <v>307.736666666667</v>
      </c>
      <c r="G4" s="5">
        <f>AVERAGE(jm_r_1!G4,jm_r_2!G4,jm_r_3!G4)</f>
        <v>4</v>
      </c>
      <c r="H4" s="5">
        <f>AVERAGE(jm_r_1!H4,jm_r_2!H4,jm_r_3!H4)</f>
        <v>6663.66666666667</v>
      </c>
      <c r="I4" s="5">
        <f>AVERAGE(jm_r_1!I4,jm_r_2!I4,jm_r_3!I4)</f>
        <v>196</v>
      </c>
      <c r="J4" s="5">
        <f>AVERAGE(jm_r_1!J4,jm_r_2!J4,jm_r_3!J4)</f>
        <v>558.966666666667</v>
      </c>
      <c r="K4" s="5">
        <f>AVERAGE(jm_r_1!K4,jm_r_2!K4,jm_r_3!K4)</f>
        <v>801.316666666667</v>
      </c>
      <c r="L4" s="5">
        <f>AVERAGE(jm_r_1!L4,jm_r_2!L4,jm_r_3!L4)</f>
        <v>2715.82</v>
      </c>
      <c r="M4" s="5">
        <f>AVERAGE(jm_r_1!M4,jm_r_2!M4,jm_r_3!M4)</f>
        <v>169.553333333333</v>
      </c>
      <c r="N4" s="5">
        <f>AVERAGE(jm_r_1!N4,jm_r_2!N4,jm_r_3!N4)</f>
        <v>29.0766666666667</v>
      </c>
      <c r="O4" s="5">
        <f>AVERAGE(jm_r_1!O4,jm_r_2!O4,jm_r_3!O4)</f>
        <v>40.4</v>
      </c>
      <c r="P4" s="1"/>
    </row>
    <row r="5" ht="14.25" spans="1:16">
      <c r="A5" s="1" t="s">
        <v>9</v>
      </c>
      <c r="B5" s="4" t="s">
        <v>32</v>
      </c>
      <c r="C5" s="5">
        <v>10000</v>
      </c>
      <c r="D5" s="5">
        <f>AVERAGE(jm_r_1!D5,jm_r_2!D5,jm_r_3!D5)</f>
        <v>0.666666666666667</v>
      </c>
      <c r="E5" s="5">
        <f>AVERAGE(jm_r_1!E5,jm_r_2!E5,jm_r_3!E5)</f>
        <v>6.66666666666667e-5</v>
      </c>
      <c r="F5" s="5">
        <f>AVERAGE(jm_r_1!F5,jm_r_2!F5,jm_r_3!F5)</f>
        <v>203.246666666667</v>
      </c>
      <c r="G5" s="5">
        <f>AVERAGE(jm_r_1!G5,jm_r_2!G5,jm_r_3!G5)</f>
        <v>0.333333333333333</v>
      </c>
      <c r="H5" s="5">
        <f>AVERAGE(jm_r_1!H5,jm_r_2!H5,jm_r_3!H5)</f>
        <v>2994.66666666667</v>
      </c>
      <c r="I5" s="5">
        <f>AVERAGE(jm_r_1!I5,jm_r_2!I5,jm_r_3!I5)</f>
        <v>138.333333333333</v>
      </c>
      <c r="J5" s="5">
        <f>AVERAGE(jm_r_1!J5,jm_r_2!J5,jm_r_3!J5)</f>
        <v>301.633333333333</v>
      </c>
      <c r="K5" s="5">
        <f>AVERAGE(jm_r_1!K5,jm_r_2!K5,jm_r_3!K5)</f>
        <v>406</v>
      </c>
      <c r="L5" s="5">
        <f>AVERAGE(jm_r_1!L5,jm_r_2!L5,jm_r_3!L5)</f>
        <v>2439.99333333333</v>
      </c>
      <c r="M5" s="5">
        <f>AVERAGE(jm_r_1!M5,jm_r_2!M5,jm_r_3!M5)</f>
        <v>151.233333333333</v>
      </c>
      <c r="N5" s="5">
        <f>AVERAGE(jm_r_1!N5,jm_r_2!N5,jm_r_3!N5)</f>
        <v>14.7666666666667</v>
      </c>
      <c r="O5" s="5">
        <f>AVERAGE(jm_r_1!O5,jm_r_2!O5,jm_r_3!O5)</f>
        <v>19.3433333333333</v>
      </c>
      <c r="P5" s="1"/>
    </row>
    <row r="6" ht="14.25" spans="1:16">
      <c r="A6" s="1" t="s">
        <v>9</v>
      </c>
      <c r="B6" s="6" t="s">
        <v>17</v>
      </c>
      <c r="C6" s="7">
        <v>10000</v>
      </c>
      <c r="D6" s="5">
        <f>AVERAGE(jm_r_1!D6,jm_r_2!D6,jm_r_3!D6)</f>
        <v>0</v>
      </c>
      <c r="E6" s="5">
        <f>AVERAGE(jm_r_1!E6,jm_r_2!E6,jm_r_3!E6)</f>
        <v>0</v>
      </c>
      <c r="F6" s="5">
        <f>AVERAGE(jm_r_1!F6,jm_r_2!F6,jm_r_3!F6)</f>
        <v>446.09</v>
      </c>
      <c r="G6" s="5">
        <f>AVERAGE(jm_r_1!G6,jm_r_2!G6,jm_r_3!G6)</f>
        <v>4</v>
      </c>
      <c r="H6" s="5">
        <f>AVERAGE(jm_r_1!H6,jm_r_2!H6,jm_r_3!H6)</f>
        <v>3853.66666666667</v>
      </c>
      <c r="I6" s="5">
        <f>AVERAGE(jm_r_1!I6,jm_r_2!I6,jm_r_3!I6)</f>
        <v>371</v>
      </c>
      <c r="J6" s="5">
        <f>AVERAGE(jm_r_1!J6,jm_r_2!J6,jm_r_3!J6)</f>
        <v>691.633333333333</v>
      </c>
      <c r="K6" s="5">
        <f>AVERAGE(jm_r_1!K6,jm_r_2!K6,jm_r_3!K6)</f>
        <v>892.65</v>
      </c>
      <c r="L6" s="5">
        <f>AVERAGE(jm_r_1!L6,jm_r_2!L6,jm_r_3!L6)</f>
        <v>1561.54333333333</v>
      </c>
      <c r="M6" s="5">
        <f>AVERAGE(jm_r_1!M6,jm_r_2!M6,jm_r_3!M6)</f>
        <v>157.02</v>
      </c>
      <c r="N6" s="5">
        <f>AVERAGE(jm_r_1!N6,jm_r_2!N6,jm_r_3!N6)</f>
        <v>9.2</v>
      </c>
      <c r="O6" s="5">
        <f>AVERAGE(jm_r_1!O6,jm_r_2!O6,jm_r_3!O6)</f>
        <v>37.4166666666667</v>
      </c>
      <c r="P6" s="1"/>
    </row>
    <row r="7" ht="14.25" spans="1:16">
      <c r="A7" s="1" t="s">
        <v>10</v>
      </c>
      <c r="B7" s="4" t="s">
        <v>32</v>
      </c>
      <c r="C7" s="5">
        <v>10000</v>
      </c>
      <c r="D7" s="5">
        <f>AVERAGE(jm_r_1!D7,jm_r_2!D7,jm_r_3!D7)</f>
        <v>24.6666666666667</v>
      </c>
      <c r="E7" s="5">
        <f>AVERAGE(jm_r_1!E7,jm_r_2!E7,jm_r_3!E7)</f>
        <v>0.00246666666666667</v>
      </c>
      <c r="F7" s="5">
        <f>AVERAGE(jm_r_1!F7,jm_r_2!F7,jm_r_3!F7)</f>
        <v>232.51</v>
      </c>
      <c r="G7" s="5">
        <f>AVERAGE(jm_r_1!G7,jm_r_2!G7,jm_r_3!G7)</f>
        <v>0</v>
      </c>
      <c r="H7" s="5">
        <f>AVERAGE(jm_r_1!H7,jm_r_2!H7,jm_r_3!H7)</f>
        <v>6014.33333333333</v>
      </c>
      <c r="I7" s="5">
        <f>AVERAGE(jm_r_1!I7,jm_r_2!I7,jm_r_3!I7)</f>
        <v>139.333333333333</v>
      </c>
      <c r="J7" s="5">
        <f>AVERAGE(jm_r_1!J7,jm_r_2!J7,jm_r_3!J7)</f>
        <v>439.333333333333</v>
      </c>
      <c r="K7" s="5">
        <f>AVERAGE(jm_r_1!K7,jm_r_2!K7,jm_r_3!K7)</f>
        <v>616.616666666667</v>
      </c>
      <c r="L7" s="5">
        <f>AVERAGE(jm_r_1!L7,jm_r_2!L7,jm_r_3!L7)</f>
        <v>2110.99666666667</v>
      </c>
      <c r="M7" s="5">
        <f>AVERAGE(jm_r_1!M7,jm_r_2!M7,jm_r_3!M7)</f>
        <v>184.846666666667</v>
      </c>
      <c r="N7" s="5">
        <f>AVERAGE(jm_r_1!N7,jm_r_2!N7,jm_r_3!N7)</f>
        <v>29.79</v>
      </c>
      <c r="O7" s="5">
        <f>AVERAGE(jm_r_1!O7,jm_r_2!O7,jm_r_3!O7)</f>
        <v>23.65</v>
      </c>
      <c r="P7" s="1"/>
    </row>
    <row r="8" ht="14.25" spans="1:16">
      <c r="A8" s="1" t="s">
        <v>10</v>
      </c>
      <c r="B8" s="6" t="s">
        <v>17</v>
      </c>
      <c r="C8" s="7">
        <v>10000</v>
      </c>
      <c r="D8" s="5">
        <f>AVERAGE(jm_r_1!D8,jm_r_2!D8,jm_r_3!D8)</f>
        <v>36.3333333333333</v>
      </c>
      <c r="E8" s="5">
        <f>AVERAGE(jm_r_1!E8,jm_r_2!E8,jm_r_3!E8)</f>
        <v>0.00363333333333333</v>
      </c>
      <c r="F8" s="5">
        <f>AVERAGE(jm_r_1!F8,jm_r_2!F8,jm_r_3!F8)</f>
        <v>278.6</v>
      </c>
      <c r="G8" s="5">
        <f>AVERAGE(jm_r_1!G8,jm_r_2!G8,jm_r_3!G8)</f>
        <v>3</v>
      </c>
      <c r="H8" s="5">
        <f>AVERAGE(jm_r_1!H8,jm_r_2!H8,jm_r_3!H8)</f>
        <v>7273</v>
      </c>
      <c r="I8" s="5">
        <f>AVERAGE(jm_r_1!I8,jm_r_2!I8,jm_r_3!I8)</f>
        <v>154.333333333333</v>
      </c>
      <c r="J8" s="5">
        <f>AVERAGE(jm_r_1!J8,jm_r_2!J8,jm_r_3!J8)</f>
        <v>502</v>
      </c>
      <c r="K8" s="5">
        <f>AVERAGE(jm_r_1!K8,jm_r_2!K8,jm_r_3!K8)</f>
        <v>761.25</v>
      </c>
      <c r="L8" s="5">
        <f>AVERAGE(jm_r_1!L8,jm_r_2!L8,jm_r_3!L8)</f>
        <v>3128.98</v>
      </c>
      <c r="M8" s="5">
        <f>AVERAGE(jm_r_1!M8,jm_r_2!M8,jm_r_3!M8)</f>
        <v>191.99</v>
      </c>
      <c r="N8" s="5">
        <f>AVERAGE(jm_r_1!N8,jm_r_2!N8,jm_r_3!N8)</f>
        <v>16.5633333333333</v>
      </c>
      <c r="O8" s="5">
        <f>AVERAGE(jm_r_1!O8,jm_r_2!O8,jm_r_3!O8)</f>
        <v>45.7466666666667</v>
      </c>
      <c r="P8" s="1"/>
    </row>
    <row r="9" ht="14.25" spans="1:16">
      <c r="A9" s="1" t="s">
        <v>11</v>
      </c>
      <c r="B9" s="4" t="s">
        <v>32</v>
      </c>
      <c r="C9" s="5">
        <v>10000</v>
      </c>
      <c r="D9" s="5">
        <f>AVERAGE(jm_r_1!D9,jm_r_2!D9,jm_r_3!D9)</f>
        <v>13.6666666666667</v>
      </c>
      <c r="E9" s="5">
        <f>AVERAGE(jm_r_1!E9,jm_r_2!E9,jm_r_3!E9)</f>
        <v>0.00136666666666667</v>
      </c>
      <c r="F9" s="5">
        <f>AVERAGE(jm_r_1!F9,jm_r_2!F9,jm_r_3!F9)</f>
        <v>207.993333333333</v>
      </c>
      <c r="G9" s="5">
        <f>AVERAGE(jm_r_1!G9,jm_r_2!G9,jm_r_3!G9)</f>
        <v>0</v>
      </c>
      <c r="H9" s="5">
        <f>AVERAGE(jm_r_1!H9,jm_r_2!H9,jm_r_3!H9)</f>
        <v>5322.33333333333</v>
      </c>
      <c r="I9" s="5">
        <f>AVERAGE(jm_r_1!I9,jm_r_2!I9,jm_r_3!I9)</f>
        <v>140.666666666667</v>
      </c>
      <c r="J9" s="5">
        <f>AVERAGE(jm_r_1!J9,jm_r_2!J9,jm_r_3!J9)</f>
        <v>404</v>
      </c>
      <c r="K9" s="5">
        <f>AVERAGE(jm_r_1!K9,jm_r_2!K9,jm_r_3!K9)</f>
        <v>533.983333333333</v>
      </c>
      <c r="L9" s="5">
        <f>AVERAGE(jm_r_1!L9,jm_r_2!L9,jm_r_3!L9)</f>
        <v>1259.57333333333</v>
      </c>
      <c r="M9" s="5">
        <f>AVERAGE(jm_r_1!M9,jm_r_2!M9,jm_r_3!M9)</f>
        <v>199.206666666667</v>
      </c>
      <c r="N9" s="5">
        <f>AVERAGE(jm_r_1!N9,jm_r_2!N9,jm_r_3!N9)</f>
        <v>32.1</v>
      </c>
      <c r="O9" s="5">
        <f>AVERAGE(jm_r_1!O9,jm_r_2!O9,jm_r_3!O9)</f>
        <v>25.4833333333333</v>
      </c>
      <c r="P9" s="1"/>
    </row>
    <row r="10" ht="14.25" spans="1:16">
      <c r="A10" s="1" t="s">
        <v>11</v>
      </c>
      <c r="B10" s="6" t="s">
        <v>17</v>
      </c>
      <c r="C10" s="7">
        <v>10000</v>
      </c>
      <c r="D10" s="5">
        <f>AVERAGE(jm_r_1!D10,jm_r_2!D10,jm_r_3!D10)</f>
        <v>16</v>
      </c>
      <c r="E10" s="5">
        <f>AVERAGE(jm_r_1!E10,jm_r_2!E10,jm_r_3!E10)</f>
        <v>0.0016</v>
      </c>
      <c r="F10" s="5">
        <f>AVERAGE(jm_r_1!F10,jm_r_2!F10,jm_r_3!F10)</f>
        <v>264.763333333333</v>
      </c>
      <c r="G10" s="5">
        <f>AVERAGE(jm_r_1!G10,jm_r_2!G10,jm_r_3!G10)</f>
        <v>3.33333333333333</v>
      </c>
      <c r="H10" s="5">
        <f>AVERAGE(jm_r_1!H10,jm_r_2!H10,jm_r_3!H10)</f>
        <v>5896.66666666667</v>
      </c>
      <c r="I10" s="5">
        <f>AVERAGE(jm_r_1!I10,jm_r_2!I10,jm_r_3!I10)</f>
        <v>158.333333333333</v>
      </c>
      <c r="J10" s="5">
        <f>AVERAGE(jm_r_1!J10,jm_r_2!J10,jm_r_3!J10)</f>
        <v>480</v>
      </c>
      <c r="K10" s="5">
        <f>AVERAGE(jm_r_1!K10,jm_r_2!K10,jm_r_3!K10)</f>
        <v>683.65</v>
      </c>
      <c r="L10" s="5">
        <f>AVERAGE(jm_r_1!L10,jm_r_2!L10,jm_r_3!L10)</f>
        <v>2922.16666666667</v>
      </c>
      <c r="M10" s="5">
        <f>AVERAGE(jm_r_1!M10,jm_r_2!M10,jm_r_3!M10)</f>
        <v>200.07</v>
      </c>
      <c r="N10" s="5">
        <f>AVERAGE(jm_r_1!N10,jm_r_2!N10,jm_r_3!N10)</f>
        <v>17.2233333333333</v>
      </c>
      <c r="O10" s="5">
        <f>AVERAGE(jm_r_1!O10,jm_r_2!O10,jm_r_3!O10)</f>
        <v>47.6733333333333</v>
      </c>
      <c r="P10" s="1"/>
    </row>
    <row r="11" ht="14.25" spans="1:16">
      <c r="A11" s="1" t="s">
        <v>12</v>
      </c>
      <c r="B11" s="4" t="s">
        <v>32</v>
      </c>
      <c r="C11" s="5">
        <v>10000</v>
      </c>
      <c r="D11" s="5">
        <f>AVERAGE(jm_r_1!D11,jm_r_2!D11,jm_r_3!D11)</f>
        <v>0</v>
      </c>
      <c r="E11" s="5">
        <f>AVERAGE(jm_r_1!E11,jm_r_2!E11,jm_r_3!E11)</f>
        <v>0</v>
      </c>
      <c r="F11" s="5">
        <f>AVERAGE(jm_r_1!F11,jm_r_2!F11,jm_r_3!F11)</f>
        <v>141.463333333333</v>
      </c>
      <c r="G11" s="5">
        <f>AVERAGE(jm_r_1!G11,jm_r_2!G11,jm_r_3!G11)</f>
        <v>0</v>
      </c>
      <c r="H11" s="5">
        <f>AVERAGE(jm_r_1!H11,jm_r_2!H11,jm_r_3!H11)</f>
        <v>756.333333333333</v>
      </c>
      <c r="I11" s="5">
        <f>AVERAGE(jm_r_1!I11,jm_r_2!I11,jm_r_3!I11)</f>
        <v>105.666666666667</v>
      </c>
      <c r="J11" s="5">
        <f>AVERAGE(jm_r_1!J11,jm_r_2!J11,jm_r_3!J11)</f>
        <v>296.666666666667</v>
      </c>
      <c r="K11" s="5">
        <f>AVERAGE(jm_r_1!K11,jm_r_2!K11,jm_r_3!K11)</f>
        <v>308.333333333333</v>
      </c>
      <c r="L11" s="5">
        <f>AVERAGE(jm_r_1!L11,jm_r_2!L11,jm_r_3!L11)</f>
        <v>434.996666666667</v>
      </c>
      <c r="M11" s="5">
        <f>AVERAGE(jm_r_1!M11,jm_r_2!M11,jm_r_3!M11)</f>
        <v>343.486666666667</v>
      </c>
      <c r="N11" s="5">
        <f>AVERAGE(jm_r_1!N11,jm_r_2!N11,jm_r_3!N11)</f>
        <v>65.7466666666667</v>
      </c>
      <c r="O11" s="5">
        <f>AVERAGE(jm_r_1!O11,jm_r_2!O11,jm_r_3!O11)</f>
        <v>43.9433333333333</v>
      </c>
      <c r="P11" s="1"/>
    </row>
    <row r="12" ht="14.25" spans="1:16">
      <c r="A12" s="1" t="s">
        <v>12</v>
      </c>
      <c r="B12" s="6" t="s">
        <v>17</v>
      </c>
      <c r="C12" s="7">
        <v>10000</v>
      </c>
      <c r="D12" s="5">
        <f>AVERAGE(jm_r_1!D12,jm_r_2!D12,jm_r_3!D12)</f>
        <v>10000</v>
      </c>
      <c r="E12" s="5">
        <f>AVERAGE(jm_r_1!E12,jm_r_2!E12,jm_r_3!E12)</f>
        <v>1</v>
      </c>
      <c r="F12" s="5">
        <f>AVERAGE(jm_r_1!F12,jm_r_2!F12,jm_r_3!F12)</f>
        <v>143.056666666667</v>
      </c>
      <c r="G12" s="5">
        <f>AVERAGE(jm_r_1!G12,jm_r_2!G12,jm_r_3!G12)</f>
        <v>0</v>
      </c>
      <c r="H12" s="5">
        <f>AVERAGE(jm_r_1!H12,jm_r_2!H12,jm_r_3!H12)</f>
        <v>598.666666666667</v>
      </c>
      <c r="I12" s="5">
        <f>AVERAGE(jm_r_1!I12,jm_r_2!I12,jm_r_3!I12)</f>
        <v>107</v>
      </c>
      <c r="J12" s="5">
        <f>AVERAGE(jm_r_1!J12,jm_r_2!J12,jm_r_3!J12)</f>
        <v>296.666666666667</v>
      </c>
      <c r="K12" s="5">
        <f>AVERAGE(jm_r_1!K12,jm_r_2!K12,jm_r_3!K12)</f>
        <v>306</v>
      </c>
      <c r="L12" s="5">
        <f>AVERAGE(jm_r_1!L12,jm_r_2!L12,jm_r_3!L12)</f>
        <v>402.333333333333</v>
      </c>
      <c r="M12" s="5">
        <f>AVERAGE(jm_r_1!M12,jm_r_2!M12,jm_r_3!M12)</f>
        <v>345.083333333333</v>
      </c>
      <c r="N12" s="5">
        <f>AVERAGE(jm_r_1!N12,jm_r_2!N12,jm_r_3!N12)</f>
        <v>54.5933333333333</v>
      </c>
      <c r="O12" s="5">
        <f>AVERAGE(jm_r_1!O12,jm_r_2!O12,jm_r_3!O12)</f>
        <v>82.2266666666667</v>
      </c>
      <c r="P12" s="1"/>
    </row>
    <row r="13" ht="14.25" spans="1:16">
      <c r="A13" s="1" t="s">
        <v>13</v>
      </c>
      <c r="B13" s="4" t="s">
        <v>32</v>
      </c>
      <c r="C13" s="5">
        <v>10000</v>
      </c>
      <c r="D13" s="5">
        <f>AVERAGE(jm_r_1!D13,jm_r_2!D13,jm_r_3!D13)</f>
        <v>0</v>
      </c>
      <c r="E13" s="5">
        <f>AVERAGE(jm_r_1!E13,jm_r_2!E13,jm_r_3!E13)</f>
        <v>0</v>
      </c>
      <c r="F13" s="5">
        <f>AVERAGE(jm_r_1!F13,jm_r_2!F13,jm_r_3!F13)</f>
        <v>150.5</v>
      </c>
      <c r="G13" s="5">
        <f>AVERAGE(jm_r_1!G13,jm_r_2!G13,jm_r_3!G13)</f>
        <v>0</v>
      </c>
      <c r="H13" s="5">
        <f>AVERAGE(jm_r_1!H13,jm_r_2!H13,jm_r_3!H13)</f>
        <v>707</v>
      </c>
      <c r="I13" s="5">
        <f>AVERAGE(jm_r_1!I13,jm_r_2!I13,jm_r_3!I13)</f>
        <v>108.666666666667</v>
      </c>
      <c r="J13" s="5">
        <f>AVERAGE(jm_r_1!J13,jm_r_2!J13,jm_r_3!J13)</f>
        <v>299.333333333333</v>
      </c>
      <c r="K13" s="5">
        <f>AVERAGE(jm_r_1!K13,jm_r_2!K13,jm_r_3!K13)</f>
        <v>362.666666666667</v>
      </c>
      <c r="L13" s="5">
        <f>AVERAGE(jm_r_1!L13,jm_r_2!L13,jm_r_3!L13)</f>
        <v>441.33</v>
      </c>
      <c r="M13" s="5">
        <f>AVERAGE(jm_r_1!M13,jm_r_2!M13,jm_r_3!M13)</f>
        <v>322.286666666667</v>
      </c>
      <c r="N13" s="5">
        <f>AVERAGE(jm_r_1!N13,jm_r_2!N13,jm_r_3!N13)</f>
        <v>76.7933333333333</v>
      </c>
      <c r="O13" s="5">
        <f>AVERAGE(jm_r_1!O13,jm_r_2!O13,jm_r_3!O13)</f>
        <v>41.23</v>
      </c>
      <c r="P13" s="1"/>
    </row>
    <row r="14" ht="14.25" spans="1:16">
      <c r="A14" s="1" t="s">
        <v>13</v>
      </c>
      <c r="B14" s="6" t="s">
        <v>17</v>
      </c>
      <c r="C14" s="7">
        <v>10000</v>
      </c>
      <c r="D14" s="5">
        <f>AVERAGE(jm_r_1!D14,jm_r_2!D14,jm_r_3!D14)</f>
        <v>10000</v>
      </c>
      <c r="E14" s="5">
        <f>AVERAGE(jm_r_1!E14,jm_r_2!E14,jm_r_3!E14)</f>
        <v>1</v>
      </c>
      <c r="F14" s="5">
        <f>AVERAGE(jm_r_1!F14,jm_r_2!F14,jm_r_3!F14)</f>
        <v>151.926666666667</v>
      </c>
      <c r="G14" s="5">
        <f>AVERAGE(jm_r_1!G14,jm_r_2!G14,jm_r_3!G14)</f>
        <v>0</v>
      </c>
      <c r="H14" s="5">
        <f>AVERAGE(jm_r_1!H14,jm_r_2!H14,jm_r_3!H14)</f>
        <v>601</v>
      </c>
      <c r="I14" s="5">
        <f>AVERAGE(jm_r_1!I14,jm_r_2!I14,jm_r_3!I14)</f>
        <v>109.5</v>
      </c>
      <c r="J14" s="5">
        <f>AVERAGE(jm_r_1!J14,jm_r_2!J14,jm_r_3!J14)</f>
        <v>299.333333333333</v>
      </c>
      <c r="K14" s="5">
        <f>AVERAGE(jm_r_1!K14,jm_r_2!K14,jm_r_3!K14)</f>
        <v>358.333333333333</v>
      </c>
      <c r="L14" s="5">
        <f>AVERAGE(jm_r_1!L14,jm_r_2!L14,jm_r_3!L14)</f>
        <v>433.33</v>
      </c>
      <c r="M14" s="5">
        <f>AVERAGE(jm_r_1!M14,jm_r_2!M14,jm_r_3!M14)</f>
        <v>322.93</v>
      </c>
      <c r="N14" s="5">
        <f>AVERAGE(jm_r_1!N14,jm_r_2!N14,jm_r_3!N14)</f>
        <v>67.8033333333333</v>
      </c>
      <c r="O14" s="5">
        <f>AVERAGE(jm_r_1!O14,jm_r_2!O14,jm_r_3!O14)</f>
        <v>76.9466666666667</v>
      </c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ht="15" spans="1:16">
      <c r="A19" s="3"/>
      <c r="B19" s="3"/>
      <c r="C19" s="8"/>
      <c r="D19" s="8"/>
      <c r="E19" s="3"/>
      <c r="F19" s="8"/>
      <c r="G19" s="8"/>
      <c r="H19" s="8"/>
      <c r="I19" s="8"/>
      <c r="J19" s="8"/>
      <c r="K19" s="8"/>
      <c r="L19" s="3"/>
      <c r="M19" s="3"/>
      <c r="N19" s="8"/>
      <c r="O19" s="1"/>
      <c r="P19" s="1"/>
    </row>
    <row r="20" ht="15" spans="1:1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1"/>
      <c r="P20" s="1"/>
    </row>
  </sheetData>
  <autoFilter xmlns:etc="http://www.wps.cn/officeDocument/2017/etCustomData" ref="B1:B20" etc:filterBottomFollowUsedRange="0">
    <extLst/>
  </autoFilter>
  <mergeCells count="3">
    <mergeCell ref="C1:E1"/>
    <mergeCell ref="F1:L1"/>
    <mergeCell ref="N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ab_r_1</vt:lpstr>
      <vt:lpstr>ab_r_2</vt:lpstr>
      <vt:lpstr>ab_r_3</vt:lpstr>
      <vt:lpstr>jm_r_1</vt:lpstr>
      <vt:lpstr>jm_r_2</vt:lpstr>
      <vt:lpstr>jm_r_3</vt:lpstr>
      <vt:lpstr>ab_arg</vt:lpstr>
      <vt:lpstr>jm_arg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</dc:creator>
  <cp:lastModifiedBy>3Y03</cp:lastModifiedBy>
  <dcterms:created xsi:type="dcterms:W3CDTF">2023-05-12T11:15:00Z</dcterms:created>
  <dcterms:modified xsi:type="dcterms:W3CDTF">2025-12-29T11:47:06Z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433D93C0366B494690652770C7C000CF_12</vt:lpwstr>
  </property>
  <property fmtid="{D5CDD505-2E9C-101B-9397-08002B2CF9AE}" pid="4" name="CalculationRule">
    <vt:i4>0</vt:i4>
  </property>
</Properties>
</file>